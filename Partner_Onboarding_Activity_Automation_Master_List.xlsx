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Activity List" sheetId="1" state="visible" r:id="rId3"/>
    <sheet name="Summary" sheetId="2" state="visible" r:id="rId4"/>
    <sheet name="Teams and Personas" sheetId="3" state="visible" r:id="rId5"/>
  </sheets>
  <definedNames>
    <definedName function="false" hidden="true" localSheetId="0" name="_xlnm._FilterDatabase" vbProcedure="false">'Master Activity List'!$A$5:$J$149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5" authorId="0">
      <text>
        <r>
          <rPr>
            <sz val="10"/>
            <rFont val="Arial"/>
            <family val="2"/>
          </rPr>
          <t xml:space="preserve">Leadership input cell. Select a decision from the dropdown for each activity, or filter by Automation Verdict and decide in blocks.</t>
        </r>
      </text>
    </comment>
  </commentList>
</comments>
</file>

<file path=xl/sharedStrings.xml><?xml version="1.0" encoding="utf-8"?>
<sst xmlns="http://schemas.openxmlformats.org/spreadsheetml/2006/main" count="1135" uniqueCount="640">
  <si>
    <t xml:space="preserve">Partner Onboarding — Master Activity List and Automation Assessment</t>
  </si>
  <si>
    <t xml:space="preserve">Every activity performed by the Partner Onboarding Resource across the nine onboarding stages, the teams engaged for each, and an assessment of whether it can be automated. Columns I and J are for leadership to complete.</t>
  </si>
  <si>
    <t xml:space="preserve">Verdicts:   Automate in full = the activity can be performed by a system end to end.   Assist = a system prepares, routes, tracks or drafts; a person completes or decides.   Retain as human work = the activity must continue to be performed by a person.</t>
  </si>
  <si>
    <t xml:space="preserve">ID</t>
  </si>
  <si>
    <t xml:space="preserve">Stage</t>
  </si>
  <si>
    <t xml:space="preserve">Activity Group</t>
  </si>
  <si>
    <t xml:space="preserve">Activity Performed by the Partner Onboarding Resource</t>
  </si>
  <si>
    <t xml:space="preserve">Teams / Personas Engaged</t>
  </si>
  <si>
    <t xml:space="preserve">Automation Verdict</t>
  </si>
  <si>
    <t xml:space="preserve">What Automation Would Cover</t>
  </si>
  <si>
    <t xml:space="preserve">Reasoning</t>
  </si>
  <si>
    <t xml:space="preserve">Leadership Decision</t>
  </si>
  <si>
    <t xml:space="preserve">Leadership Notes</t>
  </si>
  <si>
    <t xml:space="preserve">1 Partner Request</t>
  </si>
  <si>
    <t xml:space="preserve">Engagement</t>
  </si>
  <si>
    <t xml:space="preserve">Hold initial meeting with the partner team</t>
  </si>
  <si>
    <t xml:space="preserve">Partner / application team; business sponsor</t>
  </si>
  <si>
    <t xml:space="preserve">Retain as human work</t>
  </si>
  <si>
    <t xml:space="preserve">Scheduling, agenda and pre-read preparation only</t>
  </si>
  <si>
    <t xml:space="preserve">First contact sets the relationship and surfaces unstated context. The value is in reading the room and asking the unscripted follow-up, which a system cannot do.</t>
  </si>
  <si>
    <t xml:space="preserve">Explain the onboarding process, stages and partner obligations</t>
  </si>
  <si>
    <t xml:space="preserve">Partner / application team</t>
  </si>
  <si>
    <t xml:space="preserve">Automate in full</t>
  </si>
  <si>
    <t xml:space="preserve">Full explanation of the nine stages, what the partner must do at each, and when</t>
  </si>
  <si>
    <t xml:space="preserve">The explanation is identical for every partner. It is reference knowledge delivered on demand, not judgement.</t>
  </si>
  <si>
    <t xml:space="preserve">Intake authoring</t>
  </si>
  <si>
    <t xml:space="preserve">Guide the partner through the Definition of Ready workbook</t>
  </si>
  <si>
    <t xml:space="preserve">Section-by-section walkthrough, field-level explanation of why each entry matters downstream</t>
  </si>
  <si>
    <t xml:space="preserve">Fixed structure, fixed content, repeated verbatim for every onboarding.</t>
  </si>
  <si>
    <t xml:space="preserve">Understand partner and documentation requirements</t>
  </si>
  <si>
    <t xml:space="preserve">Partner / application team; business users</t>
  </si>
  <si>
    <t xml:space="preserve">Assist</t>
  </si>
  <si>
    <t xml:space="preserve">Structured capture, prompting for missing areas, restating back for confirmation</t>
  </si>
  <si>
    <t xml:space="preserve">Capture can be structured; interpreting a vaguely expressed business need into platform requirements still needs a person.</t>
  </si>
  <si>
    <t xml:space="preserve">Understand and record document types</t>
  </si>
  <si>
    <t xml:space="preserve">Structured capture and consistency checking against known type patterns</t>
  </si>
  <si>
    <t xml:space="preserve">Recording is mechanical; recognising that a described type is really two types, or is misnamed, needs experience.</t>
  </si>
  <si>
    <t xml:space="preserve">Understand and record document sizes</t>
  </si>
  <si>
    <t xml:space="preserve">Capture, unit normalisation, and flagging of outliers that will affect profile design</t>
  </si>
  <si>
    <t xml:space="preserve">Purely quantitative capture against a known schema.</t>
  </si>
  <si>
    <t xml:space="preserve">Understand and record document traits</t>
  </si>
  <si>
    <t xml:space="preserve">Structured capture against a trait checklist</t>
  </si>
  <si>
    <t xml:space="preserve">Traits are descriptive and partner teams often do not know which matter; a person probes for the ones that affect design.</t>
  </si>
  <si>
    <t xml:space="preserve">Capture volume expectations — migration, business as usual, peak</t>
  </si>
  <si>
    <t xml:space="preserve">Separate capture of the three volume classes, flagging where any is missing or implausible</t>
  </si>
  <si>
    <t xml:space="preserve">Quantitative, schema-driven, and the three classes are routinely conflated — a structured form prevents that better than a conversation.</t>
  </si>
  <si>
    <t xml:space="preserve">Capture retention and regulatory obligations</t>
  </si>
  <si>
    <t xml:space="preserve">Partner / application team; business owner</t>
  </si>
  <si>
    <t xml:space="preserve">Structured capture and prompting on regulatory drivers, retention period and legal hold</t>
  </si>
  <si>
    <t xml:space="preserve">Capture is structured; determining whether an obligation actually applies is a compliance judgement.</t>
  </si>
  <si>
    <t xml:space="preserve">Identify dependencies and downstream consumers</t>
  </si>
  <si>
    <t xml:space="preserve">Partner / application team; dependent application teams</t>
  </si>
  <si>
    <t xml:space="preserve">Prompting against a dependency checklist and surfacing known platform dependencies</t>
  </si>
  <si>
    <t xml:space="preserve">Partners are often unaware of their own downstream consumers; discovering them takes cross-team knowledge.</t>
  </si>
  <si>
    <t xml:space="preserve">Flag that document samples will be needed at discovery</t>
  </si>
  <si>
    <t xml:space="preserve">Automatic notification with the sample specification and the deadline</t>
  </si>
  <si>
    <t xml:space="preserve">A fixed rule with a fixed deadline, currently remembered rather than enforced.</t>
  </si>
  <si>
    <t xml:space="preserve">Check intake completeness before submission</t>
  </si>
  <si>
    <t xml:space="preserve">Validation against minimum intake criteria with an itemised gap list</t>
  </si>
  <si>
    <t xml:space="preserve">Criteria are documented and binary. This is the single highest-value automation in the front of the process.</t>
  </si>
  <si>
    <t xml:space="preserve">Raise the intake record</t>
  </si>
  <si>
    <t xml:space="preserve">ECM intake team</t>
  </si>
  <si>
    <t xml:space="preserve">Creation of the intake record in the correct project with the required fields populated</t>
  </si>
  <si>
    <t xml:space="preserve">Mechanical record creation against a fixed destination.</t>
  </si>
  <si>
    <t xml:space="preserve">2 Intake Review</t>
  </si>
  <si>
    <t xml:space="preserve">Validation</t>
  </si>
  <si>
    <t xml:space="preserve">Broker clarifications between the intake team and the partner</t>
  </si>
  <si>
    <t xml:space="preserve">ECM intake team (L4/L3 PM); partner team</t>
  </si>
  <si>
    <t xml:space="preserve">Drafting the clarification request, tracking what is outstanding, chasing responses</t>
  </si>
  <si>
    <t xml:space="preserve">Drafting and chasing are mechanical; negotiating a disputed interpretation is not.</t>
  </si>
  <si>
    <t xml:space="preserve">Chase outstanding partner responses</t>
  </si>
  <si>
    <t xml:space="preserve">Automatic ageing, reminders and escalation when a response passes its due date</t>
  </si>
  <si>
    <t xml:space="preserve">Pure follow-up discipline. Today it depends on one person remembering.</t>
  </si>
  <si>
    <t xml:space="preserve">Participants</t>
  </si>
  <si>
    <t xml:space="preserve">Identify product owners, architects and SMEs required for discovery</t>
  </si>
  <si>
    <t xml:space="preserve">L3 product manager; architects; SMEs</t>
  </si>
  <si>
    <t xml:space="preserve">Deriving the likely participant list from the intake content and proposing it</t>
  </si>
  <si>
    <t xml:space="preserve">The derivation is rule-based; confirming availability and suitability is a human call.</t>
  </si>
  <si>
    <t xml:space="preserve">Schedule discovery and triage sessions</t>
  </si>
  <si>
    <t xml:space="preserve">All discovery participants</t>
  </si>
  <si>
    <t xml:space="preserve">Invitation, scheduling and distribution of the pre-read brief</t>
  </si>
  <si>
    <t xml:space="preserve">Calendar coordination against a known participant list.</t>
  </si>
  <si>
    <t xml:space="preserve">Notify Imaging Governance that an engagement is coming</t>
  </si>
  <si>
    <t xml:space="preserve">Imaging Governance</t>
  </si>
  <si>
    <t xml:space="preserve">Early notification with the document profile and the expected sample date</t>
  </si>
  <si>
    <t xml:space="preserve">A fixed handoff currently done by memory, and frequently done late.</t>
  </si>
  <si>
    <t xml:space="preserve">Triage state</t>
  </si>
  <si>
    <t xml:space="preserve">Open the triage state on the intake record</t>
  </si>
  <si>
    <t xml:space="preserve">Triage leads; intake coordinator</t>
  </si>
  <si>
    <t xml:space="preserve">Applying the opening label as part of intake creation</t>
  </si>
  <si>
    <t xml:space="preserve">Deterministic state transition.</t>
  </si>
  <si>
    <t xml:space="preserve">3 LOB Priority</t>
  </si>
  <si>
    <t xml:space="preserve">Evidence</t>
  </si>
  <si>
    <t xml:space="preserve">Assemble the value, regulatory, risk and alignment evidence pack</t>
  </si>
  <si>
    <t xml:space="preserve">LOB sponsor; LOB liaisons</t>
  </si>
  <si>
    <t xml:space="preserve">Generating the evidence pack from the intake and triage content</t>
  </si>
  <si>
    <t xml:space="preserve">The pack is assembly of information that already exists; no new judgement is added by assembling it.</t>
  </si>
  <si>
    <t xml:space="preserve">Summarise the regulatory driver and the consequence of not proceeding</t>
  </si>
  <si>
    <t xml:space="preserve">LOB sponsor; Records Management</t>
  </si>
  <si>
    <t xml:space="preserve">Drafting the summary from the captured obligations</t>
  </si>
  <si>
    <t xml:space="preserve">Drafting is mechanical; the materiality judgement belongs to the business.</t>
  </si>
  <si>
    <t xml:space="preserve">Decision</t>
  </si>
  <si>
    <t xml:space="preserve">Rank the demand within the LOB portfolio</t>
  </si>
  <si>
    <t xml:space="preserve">Nothing — the system supplies evidence only</t>
  </si>
  <si>
    <t xml:space="preserve">Prioritisation is a business decision weighing commitments and risk appetite the platform team has no visibility of. It must stay with the accountable sponsor.</t>
  </si>
  <si>
    <t xml:space="preserve">Communication</t>
  </si>
  <si>
    <t xml:space="preserve">Explain commitment indicators and what they mean for the partner</t>
  </si>
  <si>
    <t xml:space="preserve">Full explanation of the indicator set and what would move a position</t>
  </si>
  <si>
    <t xml:space="preserve">Fixed reference knowledge, repeated for every partner.</t>
  </si>
  <si>
    <t xml:space="preserve">4 Discovery &amp; Triage</t>
  </si>
  <si>
    <t xml:space="preserve">Facilitation</t>
  </si>
  <si>
    <t xml:space="preserve">Facilitate discovery and triage sessions</t>
  </si>
  <si>
    <t xml:space="preserve">Product owners; architects; SMEs; partner team</t>
  </si>
  <si>
    <t xml:space="preserve">Agenda, pre-read and note capture only</t>
  </si>
  <si>
    <t xml:space="preserve">Discovery is where ambiguity is resolved through live discussion. Facilitation requires reading disagreement and redirecting in real time.</t>
  </si>
  <si>
    <t xml:space="preserve">Governance</t>
  </si>
  <si>
    <t xml:space="preserve">Collect and present document samples on the flow</t>
  </si>
  <si>
    <t xml:space="preserve">Partner team; Imaging Governance</t>
  </si>
  <si>
    <t xml:space="preserve">Specifying what samples are needed, chasing them, and assembling the submission</t>
  </si>
  <si>
    <t xml:space="preserve">Specification and chasing are mechanical; ensuring the samples genuinely represent production content requires a person.</t>
  </si>
  <si>
    <t xml:space="preserve">Determine whether documents are trusted or untrusted</t>
  </si>
  <si>
    <t xml:space="preserve">Assembling the submission, tracking the request, recording the outcome</t>
  </si>
  <si>
    <t xml:space="preserve">The determination is made by viewing the documents on the flow. It is a governance decision with regulatory and security consequence and cannot be delegated to a system.</t>
  </si>
  <si>
    <t xml:space="preserve">Allocate document category, type and subtype for trusted content</t>
  </si>
  <si>
    <t xml:space="preserve">Supplying the existing taxonomy and recording the allocation against the onboarding</t>
  </si>
  <si>
    <t xml:space="preserve">Taxonomy allocation is the governance team's authority. The allocation drives retention, search and audit keying — a wrong value is a compliance exposure.</t>
  </si>
  <si>
    <t xml:space="preserve">Assess Document Knowledge Engine coverage for untrusted document types</t>
  </si>
  <si>
    <t xml:space="preserve">Imaging Governance; iDocs team</t>
  </si>
  <si>
    <t xml:space="preserve">Comparing the partner's document types against current coverage and reporting the gap</t>
  </si>
  <si>
    <t xml:space="preserve">The comparison is mechanical; deciding whether the gap warrants extending the engine is a governance call.</t>
  </si>
  <si>
    <t xml:space="preserve">Estimate expected human-in-the-loop review volume</t>
  </si>
  <si>
    <t xml:space="preserve">Imaging Governance; IRM team</t>
  </si>
  <si>
    <t xml:space="preserve">Deriving expected review load from the coverage position</t>
  </si>
  <si>
    <t xml:space="preserve">A calculation from known inputs, currently discovered in production instead of predicted.</t>
  </si>
  <si>
    <t xml:space="preserve">Scope</t>
  </si>
  <si>
    <t xml:space="preserve">Refine the volume profile across migration, BAU and peak</t>
  </si>
  <si>
    <t xml:space="preserve">Partner team; engineering</t>
  </si>
  <si>
    <t xml:space="preserve">Running the volume assessment and producing the refined profile</t>
  </si>
  <si>
    <t xml:space="preserve">Quantitative assessment against an existing service.</t>
  </si>
  <si>
    <t xml:space="preserve">Assess architecture impacts</t>
  </si>
  <si>
    <t xml:space="preserve">Architects; engineering</t>
  </si>
  <si>
    <t xml:space="preserve">Surfacing comparable prior onboardings and their architectural decisions</t>
  </si>
  <si>
    <t xml:space="preserve">Architecture assessment is design judgement about a specific context. Precedent helps; it does not decide.</t>
  </si>
  <si>
    <t xml:space="preserve">Surface compliance, retention and legal hold considerations</t>
  </si>
  <si>
    <t xml:space="preserve">Records Management; business owner; audit</t>
  </si>
  <si>
    <t xml:space="preserve">Prompting against the compliance checklist and surfacing applicable obligations</t>
  </si>
  <si>
    <t xml:space="preserve">The checklist is fixed; whether an obligation applies to this content is a compliance judgement.</t>
  </si>
  <si>
    <t xml:space="preserve">Map integration touchpoints</t>
  </si>
  <si>
    <t xml:space="preserve">Architects; specialist and platform teams</t>
  </si>
  <si>
    <t xml:space="preserve">Deriving the likely touchpoint set from the stated capabilities</t>
  </si>
  <si>
    <t xml:space="preserve">Derivation is rule-based; confirming the design across teams is collaborative work.</t>
  </si>
  <si>
    <t xml:space="preserve">Assess delivery complexity</t>
  </si>
  <si>
    <t xml:space="preserve">Surfacing comparable onboardings for reference</t>
  </si>
  <si>
    <t xml:space="preserve">Complexity assessment informs commitment and must be owned by the team that will deliver.</t>
  </si>
  <si>
    <t xml:space="preserve">Triage</t>
  </si>
  <si>
    <t xml:space="preserve">Derive and apply area labels</t>
  </si>
  <si>
    <t xml:space="preserve">Triage leads</t>
  </si>
  <si>
    <t xml:space="preserve">Deriving the applicable area labels from the intake content and applying them</t>
  </si>
  <si>
    <t xml:space="preserve">Rule-based derivation from documented criteria. Missing a label today silently misroutes the intake.</t>
  </si>
  <si>
    <t xml:space="preserve">Derive and apply impact tags</t>
  </si>
  <si>
    <t xml:space="preserve">Deriving impact tags for capture, generation, print and mail, reporting, AI classification and components</t>
  </si>
  <si>
    <t xml:space="preserve">Same rule set, same silent failure mode. One of the clearest automation candidates in the process.</t>
  </si>
  <si>
    <t xml:space="preserve">Complete the triage state transition and record the completion date</t>
  </si>
  <si>
    <t xml:space="preserve">Performing label removal, label addition, area labels and the completion date as one action</t>
  </si>
  <si>
    <t xml:space="preserve">Four coordinated manual edits today with no validation that all four were made. Partial completion is currently possible and undetectable.</t>
  </si>
  <si>
    <t xml:space="preserve">Register and track the follow-up loop where information is missing</t>
  </si>
  <si>
    <t xml:space="preserve">Triage leads; partner team</t>
  </si>
  <si>
    <t xml:space="preserve">Registering the waiting state, tagging the responsible party, ageing the item and prompting before the date passes</t>
  </si>
  <si>
    <t xml:space="preserve">Nothing enforces the follow-up date today.</t>
  </si>
  <si>
    <t xml:space="preserve">Produce the discovery pre-read brief</t>
  </si>
  <si>
    <t xml:space="preserve">Generating the brief from the intake and prior triage content</t>
  </si>
  <si>
    <t xml:space="preserve">Assembly of existing content into a fixed format.</t>
  </si>
  <si>
    <t xml:space="preserve">5 Product Epic Creation</t>
  </si>
  <si>
    <t xml:space="preserve">Decomposition</t>
  </si>
  <si>
    <t xml:space="preserve">Draft the product epic</t>
  </si>
  <si>
    <t xml:space="preserve">L3 product manager; product owners</t>
  </si>
  <si>
    <t xml:space="preserve">Generating the epic draft from the triage outcome in the required structure</t>
  </si>
  <si>
    <t xml:space="preserve">Structured generation from a confirmed input.</t>
  </si>
  <si>
    <t xml:space="preserve">Decompose into features aligned to delivery workstreams</t>
  </si>
  <si>
    <t xml:space="preserve">Proposing the workstream-aligned feature set for review</t>
  </si>
  <si>
    <t xml:space="preserve">The workstream split is standard; adjusting it for a specific onboarding is a planning judgement.</t>
  </si>
  <si>
    <t xml:space="preserve">Generate user stories and work items</t>
  </si>
  <si>
    <t xml:space="preserve">Product owners</t>
  </si>
  <si>
    <t xml:space="preserve">Drafting stories beneath each feature</t>
  </si>
  <si>
    <t xml:space="preserve">Drafting is mechanical; sizing and sequencing belong to the delivery team.</t>
  </si>
  <si>
    <t xml:space="preserve">Verify hierarchy linkage and that every feature has an owner</t>
  </si>
  <si>
    <t xml:space="preserve">Validating that every feature links to the epic, every story to a feature, and every feature has an owner</t>
  </si>
  <si>
    <t xml:space="preserve">Binary structural validation. Gaps found here today surface two stages later as uncommittable features.</t>
  </si>
  <si>
    <t xml:space="preserve">Dependencies</t>
  </si>
  <si>
    <t xml:space="preserve">Build the cross-team dependency map</t>
  </si>
  <si>
    <t xml:space="preserve">Specialist and platform teams; engineering</t>
  </si>
  <si>
    <t xml:space="preserve">Deriving which teams must commit in the same increment</t>
  </si>
  <si>
    <t xml:space="preserve">Derivable from the scope; currently assembled by recall.</t>
  </si>
  <si>
    <t xml:space="preserve">6 Big Room Planning</t>
  </si>
  <si>
    <t xml:space="preserve">Preparation</t>
  </si>
  <si>
    <t xml:space="preserve">Assemble the planning pack</t>
  </si>
  <si>
    <t xml:space="preserve">L3 product manager; L1 and L2 product owners</t>
  </si>
  <si>
    <t xml:space="preserve">Generating the scope walkthrough, dependency map and open query list</t>
  </si>
  <si>
    <t xml:space="preserve">Assembly of existing content.</t>
  </si>
  <si>
    <t xml:space="preserve">Session</t>
  </si>
  <si>
    <t xml:space="preserve">Walk scope with product owners and resolve queries</t>
  </si>
  <si>
    <t xml:space="preserve">L1 and L2 product owners; L3 product manager</t>
  </si>
  <si>
    <t xml:space="preserve">Pre-read and query log only</t>
  </si>
  <si>
    <t xml:space="preserve">The session exists to build shared understanding before a commitment. Its value is the discussion itself.</t>
  </si>
  <si>
    <t xml:space="preserve">Record commitment positions against features</t>
  </si>
  <si>
    <t xml:space="preserve">L1 and L2 product owners</t>
  </si>
  <si>
    <t xml:space="preserve">Capturing positions and updating the delivery record</t>
  </si>
  <si>
    <t xml:space="preserve">Mechanical capture following the discussion.</t>
  </si>
  <si>
    <t xml:space="preserve">7 Capacity Assessment</t>
  </si>
  <si>
    <t xml:space="preserve">Request</t>
  </si>
  <si>
    <t xml:space="preserve">Assemble the capacity planning request</t>
  </si>
  <si>
    <t xml:space="preserve">Engineering and enabling teams</t>
  </si>
  <si>
    <t xml:space="preserve">Generating the request from the volume profile and the agreed design</t>
  </si>
  <si>
    <t xml:space="preserve">Assembly from confirmed inputs.</t>
  </si>
  <si>
    <t xml:space="preserve">Routing</t>
  </si>
  <si>
    <t xml:space="preserve">Resolve the allocated delivery team and its project key</t>
  </si>
  <si>
    <t xml:space="preserve">Enabling teams</t>
  </si>
  <si>
    <t xml:space="preserve">Resolving the team and project key from the intake, and failing explicitly where it cannot be resolved</t>
  </si>
  <si>
    <t xml:space="preserve">A lookup that is currently done from memory and occasionally wrong, with no immediate signal when it is.</t>
  </si>
  <si>
    <t xml:space="preserve">Raise the capacity planning ticket against the correct project</t>
  </si>
  <si>
    <t xml:space="preserve">Engineering teams</t>
  </si>
  <si>
    <t xml:space="preserve">Creating the ticket in the resolved team's own project</t>
  </si>
  <si>
    <t xml:space="preserve">Mechanical creation once routing is resolved. A ticket in the wrong project is invisible rather than rejected.</t>
  </si>
  <si>
    <t xml:space="preserve">Load testing</t>
  </si>
  <si>
    <t xml:space="preserve">Determine whether load testing applies, from the volume profile</t>
  </si>
  <si>
    <t xml:space="preserve">SPLI team; engineering</t>
  </si>
  <si>
    <t xml:space="preserve">Applying the volume thresholds and returning the determination with its basis</t>
  </si>
  <si>
    <t xml:space="preserve">Threshold-based determination against documented criteria.</t>
  </si>
  <si>
    <t xml:space="preserve">Raise the load-testing engagement and its ticket</t>
  </si>
  <si>
    <t xml:space="preserve">SPLI team</t>
  </si>
  <si>
    <t xml:space="preserve">Raising the engagement against the resolved delivery team's project</t>
  </si>
  <si>
    <t xml:space="preserve">Mechanical, once applicability and routing are resolved.</t>
  </si>
  <si>
    <t xml:space="preserve">Track load-testing approval as a gate on progression</t>
  </si>
  <si>
    <t xml:space="preserve">Tracking approval status and blocking promotion where it is outstanding</t>
  </si>
  <si>
    <t xml:space="preserve">Status tracking and gate enforcement.</t>
  </si>
  <si>
    <t xml:space="preserve">Commitment</t>
  </si>
  <si>
    <t xml:space="preserve">Return the commitment position</t>
  </si>
  <si>
    <t xml:space="preserve">Assembling the request and recording the outcome</t>
  </si>
  <si>
    <t xml:space="preserve">The commitment is a resourcing undertaking by the team that must honour it. It cannot be made on their behalf.</t>
  </si>
  <si>
    <t xml:space="preserve">Escalate or renegotiate a below-the-line position</t>
  </si>
  <si>
    <t xml:space="preserve">LOB sponsor; engineering leadership</t>
  </si>
  <si>
    <t xml:space="preserve">Surfacing the position and the escalation path</t>
  </si>
  <si>
    <t xml:space="preserve">Escalation is a negotiation between accountable leaders.</t>
  </si>
  <si>
    <t xml:space="preserve">Reset partner expectations where the commitment slips</t>
  </si>
  <si>
    <t xml:space="preserve">Notification of the change only</t>
  </si>
  <si>
    <t xml:space="preserve">Delivering unwelcome news and preserving the relationship is the core of the ambassador role.</t>
  </si>
  <si>
    <t xml:space="preserve">8 Development &amp; Delivery</t>
  </si>
  <si>
    <t xml:space="preserve">Foundational setup</t>
  </si>
  <si>
    <t xml:space="preserve">Look up or register the business application identity</t>
  </si>
  <si>
    <t xml:space="preserve">Application registry; partner team</t>
  </si>
  <si>
    <t xml:space="preserve">Lookup and registration, linking every downstream request to one identity</t>
  </si>
  <si>
    <t xml:space="preserve">Mechanical registry operation.</t>
  </si>
  <si>
    <t xml:space="preserve">Guide the certificate request</t>
  </si>
  <si>
    <t xml:space="preserve">Certificate management team; partner team</t>
  </si>
  <si>
    <t xml:space="preserve">Guiding the request with the correct attributes for the target environment</t>
  </si>
  <si>
    <t xml:space="preserve">Fixed procedure with environment-specific parameters.</t>
  </si>
  <si>
    <t xml:space="preserve">Advise on certificate renewal windows and expiry consequences</t>
  </si>
  <si>
    <t xml:space="preserve">Advisory plus proactive expiry alerting</t>
  </si>
  <si>
    <t xml:space="preserve">Reference knowledge plus date tracking.</t>
  </si>
  <si>
    <t xml:space="preserve">Determine the correct access route for a given request type</t>
  </si>
  <si>
    <t xml:space="preserve">Security teams</t>
  </si>
  <si>
    <t xml:space="preserve">Applying the routing rule and returning the correct path with its basis</t>
  </si>
  <si>
    <t xml:space="preserve">A documented rule that is applied from memory today. Misrouting is not rejected — the request simply waits in the wrong queue.</t>
  </si>
  <si>
    <t xml:space="preserve">Raise service account creation requests</t>
  </si>
  <si>
    <t xml:space="preserve">Access request tooling; security</t>
  </si>
  <si>
    <t xml:space="preserve">Raising the request on the correct path for both environments</t>
  </si>
  <si>
    <t xml:space="preserve">Mechanical once routing is resolved.</t>
  </si>
  <si>
    <t xml:space="preserve">Raise service account group membership requests</t>
  </si>
  <si>
    <t xml:space="preserve">Raise human user access requests</t>
  </si>
  <si>
    <t xml:space="preserve">Access request tooling; identity management; security</t>
  </si>
  <si>
    <t xml:space="preserve">Routing by domain and raising on the correct path</t>
  </si>
  <si>
    <t xml:space="preserve">Human access routes differently from service accounts; the rule is documented and currently applied by recall.</t>
  </si>
  <si>
    <t xml:space="preserve">Raise the firewall connectivity request from the partner zone</t>
  </si>
  <si>
    <t xml:space="preserve">Network and security teams</t>
  </si>
  <si>
    <t xml:space="preserve">Assembling and raising the request</t>
  </si>
  <si>
    <t xml:space="preserve">Long lead-time item with a fixed request format.</t>
  </si>
  <si>
    <t xml:space="preserve">Track all outstanding access, certificate and connectivity requests</t>
  </si>
  <si>
    <t xml:space="preserve">Security; network; identity management</t>
  </si>
  <si>
    <t xml:space="preserve">A single ageing view across every outstanding request</t>
  </si>
  <si>
    <t xml:space="preserve">Status aggregation. Today this is a mental list.</t>
  </si>
  <si>
    <t xml:space="preserve">Complete system security analysis</t>
  </si>
  <si>
    <t xml:space="preserve">Security team</t>
  </si>
  <si>
    <t xml:space="preserve">Walking the checklist and tracking completion</t>
  </si>
  <si>
    <t xml:space="preserve">The checklist is fixed; the analysis and its sign-off are a security responsibility.</t>
  </si>
  <si>
    <t xml:space="preserve">Complete user security analysis</t>
  </si>
  <si>
    <t xml:space="preserve">As above — the assessment itself is a security judgement.</t>
  </si>
  <si>
    <t xml:space="preserve">Agreement</t>
  </si>
  <si>
    <t xml:space="preserve">Assemble the Partner System Agreement and capture sign-off</t>
  </si>
  <si>
    <t xml:space="preserve">Partner team; support and management teams</t>
  </si>
  <si>
    <t xml:space="preserve">Assembling the agreement, capturing sign-off evidence, filing it against the onboarding</t>
  </si>
  <si>
    <t xml:space="preserve">Assembly and filing are mechanical; securing agreement to the terms is a relationship and governance step.</t>
  </si>
  <si>
    <t xml:space="preserve">Gateway</t>
  </si>
  <si>
    <t xml:space="preserve">Guide the partner through gateway marketplace onboarding</t>
  </si>
  <si>
    <t xml:space="preserve">Gateway team; partner team</t>
  </si>
  <si>
    <t xml:space="preserve">Step-by-step guidance through the onboarding procedure</t>
  </si>
  <si>
    <t xml:space="preserve">Fixed, documented, repeated procedure.</t>
  </si>
  <si>
    <t xml:space="preserve">Identify the required platform API products</t>
  </si>
  <si>
    <t xml:space="preserve">Partner team; architects</t>
  </si>
  <si>
    <t xml:space="preserve">Mapping the stated capability requirements to API products</t>
  </si>
  <si>
    <t xml:space="preserve">Rule-based mapping from requirements to a known catalogue.</t>
  </si>
  <si>
    <t xml:space="preserve">Register the application and raise API subscriptions</t>
  </si>
  <si>
    <t xml:space="preserve">Gateway team</t>
  </si>
  <si>
    <t xml:space="preserve">Registration and subscription against the identified products</t>
  </si>
  <si>
    <t xml:space="preserve">Mechanical operation.</t>
  </si>
  <si>
    <t xml:space="preserve">Obtain gateway approvals</t>
  </si>
  <si>
    <t xml:space="preserve">Raising the request and tracking it to a decision</t>
  </si>
  <si>
    <t xml:space="preserve">The approval itself is a gateway team decision.</t>
  </si>
  <si>
    <t xml:space="preserve">Maintain the gateway onboarding tracker</t>
  </si>
  <si>
    <t xml:space="preserve">Keeping the tracker current as subscriptions and approvals progress</t>
  </si>
  <si>
    <t xml:space="preserve">Record keeping that today competes with delivery work for attention.</t>
  </si>
  <si>
    <t xml:space="preserve">Produce a partner-specific API collection for testing</t>
  </si>
  <si>
    <t xml:space="preserve">Generating the collection with correct endpoints, authentication and sample payloads</t>
  </si>
  <si>
    <t xml:space="preserve">Generation from known configuration.</t>
  </si>
  <si>
    <t xml:space="preserve">Event enablement</t>
  </si>
  <si>
    <t xml:space="preserve">Initiate the Kafka enablement engagement</t>
  </si>
  <si>
    <t xml:space="preserve">Kafka enablement team</t>
  </si>
  <si>
    <t xml:space="preserve">Raising the engagement and explaining its approval path and lead time</t>
  </si>
  <si>
    <t xml:space="preserve">Fixed engagement initiation.</t>
  </si>
  <si>
    <t xml:space="preserve">Design the consumer group configuration</t>
  </si>
  <si>
    <t xml:space="preserve">Kafka enablement team; architects</t>
  </si>
  <si>
    <t xml:space="preserve">Proposing a configuration against the reconciliation requirements</t>
  </si>
  <si>
    <t xml:space="preserve">Design judgement about the partner's consumption pattern.</t>
  </si>
  <si>
    <t xml:space="preserve">Raise consumer group provisioning</t>
  </si>
  <si>
    <t xml:space="preserve">Raising the provisioning request on the relevant topic</t>
  </si>
  <si>
    <t xml:space="preserve">Mechanical once the design is agreed.</t>
  </si>
  <si>
    <t xml:space="preserve">Configure ingestion notifications</t>
  </si>
  <si>
    <t xml:space="preserve">Configuration against the agreed design and validation that notifications flow</t>
  </si>
  <si>
    <t xml:space="preserve">Configuration is mechanical; validating end-to-end behaviour needs a person.</t>
  </si>
  <si>
    <t xml:space="preserve">Advise on reconciliation, retry and exception handling design</t>
  </si>
  <si>
    <t xml:space="preserve">Supplying the reference patterns and checking the design against them</t>
  </si>
  <si>
    <t xml:space="preserve">The partner's reconciliation design is their own architecture decision.</t>
  </si>
  <si>
    <t xml:space="preserve">Maintain the event onboarding tracker</t>
  </si>
  <si>
    <t xml:space="preserve">Keeping the tracker current</t>
  </si>
  <si>
    <t xml:space="preserve">Record keeping.</t>
  </si>
  <si>
    <t xml:space="preserve">Content — untrusted</t>
  </si>
  <si>
    <t xml:space="preserve">Onboard untrusted content to virus scanning</t>
  </si>
  <si>
    <t xml:space="preserve">Scanning team; security</t>
  </si>
  <si>
    <t xml:space="preserve">Raising the onboarding and confirming coverage</t>
  </si>
  <si>
    <t xml:space="preserve">Mandatory step with a fixed procedure.</t>
  </si>
  <si>
    <t xml:space="preserve">Engage the classification team</t>
  </si>
  <si>
    <t xml:space="preserve">iDocs team</t>
  </si>
  <si>
    <t xml:space="preserve">Initiating the engagement and setting out what is required from the partner</t>
  </si>
  <si>
    <t xml:space="preserve">Specify and validate document sample collection</t>
  </si>
  <si>
    <t xml:space="preserve">Partner team; iDocs; Imaging Governance</t>
  </si>
  <si>
    <t xml:space="preserve">Specifying how many samples of which types are needed and validating what is supplied</t>
  </si>
  <si>
    <t xml:space="preserve">Specification is rule-based; judging representativeness is not.</t>
  </si>
  <si>
    <t xml:space="preserve">Request extension of the Document Knowledge Engine for new types</t>
  </si>
  <si>
    <t xml:space="preserve">Raising the request with the samples and context required</t>
  </si>
  <si>
    <t xml:space="preserve">The request can be automated; modifying the engine is the governance team's authority and must stay with them.</t>
  </si>
  <si>
    <t xml:space="preserve">Track a knowledge engine update through to model availability</t>
  </si>
  <si>
    <t xml:space="preserve">Tracking the change to the point the trained model reflects it, and blocking dependent work until it does</t>
  </si>
  <si>
    <t xml:space="preserve">Status tracking. Today a stale model looks exactly like a configuration defect and teams lose days diagnosing it.</t>
  </si>
  <si>
    <t xml:space="preserve">Support classification profile development</t>
  </si>
  <si>
    <t xml:space="preserve">Supplying samples and the registered classification position</t>
  </si>
  <si>
    <t xml:space="preserve">Profile development is specialist design work against a trained model.</t>
  </si>
  <si>
    <t xml:space="preserve">Engage the human-in-the-loop review team</t>
  </si>
  <si>
    <t xml:space="preserve">IRM team</t>
  </si>
  <si>
    <t xml:space="preserve">Initiating the engagement with the expected review volume</t>
  </si>
  <si>
    <t xml:space="preserve">Fixed engagement initiation with a derived volume estimate.</t>
  </si>
  <si>
    <t xml:space="preserve">Design pre-capture and post-capture profiles</t>
  </si>
  <si>
    <t xml:space="preserve">Supplying the content profile and governance position</t>
  </si>
  <si>
    <t xml:space="preserve">Specialist design work governing what happens around human review.</t>
  </si>
  <si>
    <t xml:space="preserve">Content — both paths</t>
  </si>
  <si>
    <t xml:space="preserve">Route newly introduced document types back to governance</t>
  </si>
  <si>
    <t xml:space="preserve">Detecting a new type and routing it for a fresh decision rather than letting it inherit an existing one</t>
  </si>
  <si>
    <t xml:space="preserve">Detection is mechanical; today a new type can silently inherit the wrong classification.</t>
  </si>
  <si>
    <t xml:space="preserve">Develop the trusted and untrusted platform profiles</t>
  </si>
  <si>
    <t xml:space="preserve">Engineering</t>
  </si>
  <si>
    <t xml:space="preserve">Validating the configurations are complete and mutually consistent</t>
  </si>
  <si>
    <t xml:space="preserve">Profile development is platform engineering work.</t>
  </si>
  <si>
    <t xml:space="preserve">Records management</t>
  </si>
  <si>
    <t xml:space="preserve">Gather retention requirements from the business</t>
  </si>
  <si>
    <t xml:space="preserve">Business owner; Records Management</t>
  </si>
  <si>
    <t xml:space="preserve">Structuring the conversation and capturing the outcome</t>
  </si>
  <si>
    <t xml:space="preserve">Retention is a business obligation that must be stated by the accountable owner.</t>
  </si>
  <si>
    <t xml:space="preserve">Draft the records management onboarding questionnaire</t>
  </si>
  <si>
    <t xml:space="preserve">Records Management team</t>
  </si>
  <si>
    <t xml:space="preserve">Generating the draft from the captured requirements</t>
  </si>
  <si>
    <t xml:space="preserve">Generation from structured input into a fixed format.</t>
  </si>
  <si>
    <t xml:space="preserve">Track the questionnaire through review and approval</t>
  </si>
  <si>
    <t xml:space="preserve">Tracking status and surfacing it as a gate</t>
  </si>
  <si>
    <t xml:space="preserve">Hand off retention implementation</t>
  </si>
  <si>
    <t xml:space="preserve">Preparing and transmitting the implementation handoff</t>
  </si>
  <si>
    <t xml:space="preserve">Mechanical handoff of an approved artefact.</t>
  </si>
  <si>
    <t xml:space="preserve">Advise on retention code, period and regulated storage</t>
  </si>
  <si>
    <t xml:space="preserve">Returning the applicable code and period for the document classes in scope</t>
  </si>
  <si>
    <t xml:space="preserve">The advisory is rule-based; confirming it against the regulatory position is an RM responsibility.</t>
  </si>
  <si>
    <t xml:space="preserve">Metadata &amp; retrieval</t>
  </si>
  <si>
    <t xml:space="preserve">Facilitate metadata discovery workshops</t>
  </si>
  <si>
    <t xml:space="preserve">Business users; architects</t>
  </si>
  <si>
    <t xml:space="preserve">Structuring the agenda and capturing outcomes</t>
  </si>
  <si>
    <t xml:space="preserve">Metadata design is elicitation work with business users and cannot be scripted.</t>
  </si>
  <si>
    <t xml:space="preserve">Define search filters and retrieval requirements</t>
  </si>
  <si>
    <t xml:space="preserve">Proposing filters against the stated audit and retrieval needs</t>
  </si>
  <si>
    <t xml:space="preserve">Proposal is derivable; confirming what the business will actually search on is not.</t>
  </si>
  <si>
    <t xml:space="preserve">Identify security keys, legal entity and organisational mappings</t>
  </si>
  <si>
    <t xml:space="preserve">Architects; security</t>
  </si>
  <si>
    <t xml:space="preserve">Surfacing the required mapping set and checking completeness</t>
  </si>
  <si>
    <t xml:space="preserve">Mappings are a security control; assignment needs a person.</t>
  </si>
  <si>
    <t xml:space="preserve">Complete repository onboarding and metadata mapping</t>
  </si>
  <si>
    <t xml:space="preserve">Validating completeness of the mapping against the agreed design</t>
  </si>
  <si>
    <t xml:space="preserve">Configuration is engineering work; validation can be automated.</t>
  </si>
  <si>
    <t xml:space="preserve">Enable search and view APIs</t>
  </si>
  <si>
    <t xml:space="preserve">Enabling and validating API access for the partner</t>
  </si>
  <si>
    <t xml:space="preserve">Mechanical enablement against a known configuration.</t>
  </si>
  <si>
    <t xml:space="preserve">Evaluate and configure viewer integration</t>
  </si>
  <si>
    <t xml:space="preserve">Engineering; partner team</t>
  </si>
  <si>
    <t xml:space="preserve">Supplying integration options and validating the configuration</t>
  </si>
  <si>
    <t xml:space="preserve">Integration choice depends on the partner's own front end.</t>
  </si>
  <si>
    <t xml:space="preserve">Provision access for business, audit and operational users</t>
  </si>
  <si>
    <t xml:space="preserve">Access tooling; identity management; business users</t>
  </si>
  <si>
    <t xml:space="preserve">Raising and tracking the provisioning requests</t>
  </si>
  <si>
    <t xml:space="preserve">Mechanical once the user list is known.</t>
  </si>
  <si>
    <t xml:space="preserve">Deliver the user interface demonstration</t>
  </si>
  <si>
    <t xml:space="preserve">Business users; UI team</t>
  </si>
  <si>
    <t xml:space="preserve">Assembling the demonstration content</t>
  </si>
  <si>
    <t xml:space="preserve">A live demonstration answering questions in the room; adoption depends on it.</t>
  </si>
  <si>
    <t xml:space="preserve">Produce user manuals</t>
  </si>
  <si>
    <t xml:space="preserve">UI team; partner team</t>
  </si>
  <si>
    <t xml:space="preserve">Generating the partner-specific manual from the configured capabilities</t>
  </si>
  <si>
    <t xml:space="preserve">Generation from known configuration into a fixed format.</t>
  </si>
  <si>
    <t xml:space="preserve">Deliver user training</t>
  </si>
  <si>
    <t xml:space="preserve">Business users</t>
  </si>
  <si>
    <t xml:space="preserve">Supplying materials only</t>
  </si>
  <si>
    <t xml:space="preserve">Training is interactive and adapts to the audience.</t>
  </si>
  <si>
    <t xml:space="preserve">Testing</t>
  </si>
  <si>
    <t xml:space="preserve">Assemble the integration test plan</t>
  </si>
  <si>
    <t xml:space="preserve">Engineering; partner team; specialist teams</t>
  </si>
  <si>
    <t xml:space="preserve">Generating the plan across every integration touchpoint in scope</t>
  </si>
  <si>
    <t xml:space="preserve">Plan assembly from a known touchpoint set.</t>
  </si>
  <si>
    <t xml:space="preserve">Design end-to-end reconciliation test scenarios</t>
  </si>
  <si>
    <t xml:space="preserve">Proposing scenarios covering success and failure paths</t>
  </si>
  <si>
    <t xml:space="preserve">Scenario design depends on the partner's reconciliation logic.</t>
  </si>
  <si>
    <t xml:space="preserve">Assemble the UAT plan and track sign-off</t>
  </si>
  <si>
    <t xml:space="preserve">Business users; partner team</t>
  </si>
  <si>
    <t xml:space="preserve">Generating the plan against the objectives stated at intake and tracking sign-off</t>
  </si>
  <si>
    <t xml:space="preserve">Closes the loop back to intake automatically — a link currently maintained by memory.</t>
  </si>
  <si>
    <t xml:space="preserve">Detect configuration conflicts between independently configured systems</t>
  </si>
  <si>
    <t xml:space="preserve">Engineering; specialist teams</t>
  </si>
  <si>
    <t xml:space="preserve">Comparing configurations across systems and reporting incompatible assumptions</t>
  </si>
  <si>
    <t xml:space="preserve">Mechanical comparison. Today these surface during integration testing at far higher cost.</t>
  </si>
  <si>
    <t xml:space="preserve">Triage and route defects</t>
  </si>
  <si>
    <t xml:space="preserve">Classifying the defect and routing it with the context needed to act</t>
  </si>
  <si>
    <t xml:space="preserve">Classification is rule-based; disputed or cross-boundary defects need a person.</t>
  </si>
  <si>
    <t xml:space="preserve">Broker resolution between partner and engineering</t>
  </si>
  <si>
    <t xml:space="preserve">Tracking the item and its ageing</t>
  </si>
  <si>
    <t xml:space="preserve">Brokering is negotiation across organisational boundaries and is a stated responsibility of the role.</t>
  </si>
  <si>
    <t xml:space="preserve">Support load test execution and interpret results</t>
  </si>
  <si>
    <t xml:space="preserve">Collating results against the volume profile</t>
  </si>
  <si>
    <t xml:space="preserve">Interpretation and the resulting design decisions are engineering judgement.</t>
  </si>
  <si>
    <t xml:space="preserve">Run production readiness validation</t>
  </si>
  <si>
    <t xml:space="preserve">Engineering; Platform Support</t>
  </si>
  <si>
    <t xml:space="preserve">Running the checklist and reporting gaps</t>
  </si>
  <si>
    <t xml:space="preserve">Checklist execution against documented criteria.</t>
  </si>
  <si>
    <t xml:space="preserve">Environment progression</t>
  </si>
  <si>
    <t xml:space="preserve">Check promotion gates for the target environment</t>
  </si>
  <si>
    <t xml:space="preserve">Checking every gate and blocking promotion where one is unmet</t>
  </si>
  <si>
    <t xml:space="preserve">Binary gate checking. Today this depends on someone remembering every gate.</t>
  </si>
  <si>
    <t xml:space="preserve">Enforce the fixed promotion ladder</t>
  </si>
  <si>
    <t xml:space="preserve">Refusing skip requests and explaining what the skipped environment validates</t>
  </si>
  <si>
    <t xml:space="preserve">A fixed rule, occasionally bypassed under schedule pressure.</t>
  </si>
  <si>
    <t xml:space="preserve">Validate the correct environment service account is in use</t>
  </si>
  <si>
    <t xml:space="preserve">Validating the account before promotion</t>
  </si>
  <si>
    <t xml:space="preserve">Mechanical validation. Today the failure appears late and is hard to diagnose.</t>
  </si>
  <si>
    <t xml:space="preserve">Apply the constraint where no delivery team is allocated</t>
  </si>
  <si>
    <t xml:space="preserve">Checking allocation and applying the first-environment-only constraint</t>
  </si>
  <si>
    <t xml:space="preserve">A documented constraint applied by recall today.</t>
  </si>
  <si>
    <t xml:space="preserve">Documentation</t>
  </si>
  <si>
    <t xml:space="preserve">Produce technical design documentation and technology notes</t>
  </si>
  <si>
    <t xml:space="preserve">Architects; Platform Support</t>
  </si>
  <si>
    <t xml:space="preserve">Generating the draft from the onboarding record</t>
  </si>
  <si>
    <t xml:space="preserve">The draft is assembly; the design rationale needs an architect.</t>
  </si>
  <si>
    <t xml:space="preserve">Produce operational runbooks</t>
  </si>
  <si>
    <t xml:space="preserve">Platform Support; engineering</t>
  </si>
  <si>
    <t xml:space="preserve">Generating the runbook from the configuration record</t>
  </si>
  <si>
    <t xml:space="preserve">Generation covers the known configuration; operational edge cases need experience.</t>
  </si>
  <si>
    <t xml:space="preserve">Track technical and business validation sign-offs</t>
  </si>
  <si>
    <t xml:space="preserve">Engineering; business users</t>
  </si>
  <si>
    <t xml:space="preserve">Tracking outstanding approvals and surfacing them as gates</t>
  </si>
  <si>
    <t xml:space="preserve">Status tracking.</t>
  </si>
  <si>
    <t xml:space="preserve">9 Partner Live</t>
  </si>
  <si>
    <t xml:space="preserve">Release readiness</t>
  </si>
  <si>
    <t xml:space="preserve">Create the Release Transition page</t>
  </si>
  <si>
    <t xml:space="preserve">Platform Support; Delivery Management; Cloud and Hosting Engineering</t>
  </si>
  <si>
    <t xml:space="preserve">Generating the page from the onboarding record, populating each support team's section</t>
  </si>
  <si>
    <t xml:space="preserve">The page is assembly of information already captured across the lifecycle. Authoring it by hand is the single largest clerical task in the process.</t>
  </si>
  <si>
    <t xml:space="preserve">Check the transition page against what each support team needs</t>
  </si>
  <si>
    <t xml:space="preserve">Completeness checking and gap reporting</t>
  </si>
  <si>
    <t xml:space="preserve">Checking against a documented requirement set. Gaps here become support incidents.</t>
  </si>
  <si>
    <t xml:space="preserve">Confirm UAT sign-off</t>
  </si>
  <si>
    <t xml:space="preserve">Confirming sign-off status and blocking where outstanding</t>
  </si>
  <si>
    <t xml:space="preserve">Status confirmation.</t>
  </si>
  <si>
    <t xml:space="preserve">Confirm production support readiness</t>
  </si>
  <si>
    <t xml:space="preserve">Platform Support</t>
  </si>
  <si>
    <t xml:space="preserve">Walking the readiness checklist and tracking completion</t>
  </si>
  <si>
    <t xml:space="preserve">Support's acceptance of a new service is their own decision.</t>
  </si>
  <si>
    <t xml:space="preserve">Track technical, business and go-live sign-offs</t>
  </si>
  <si>
    <t xml:space="preserve">Named sign-off holders</t>
  </si>
  <si>
    <t xml:space="preserve">Tracking outstanding approvals and blocking progression without them</t>
  </si>
  <si>
    <t xml:space="preserve">Authorise go-live</t>
  </si>
  <si>
    <t xml:space="preserve">Presenting the evidence that the sign-offs rest on</t>
  </si>
  <si>
    <t xml:space="preserve">Authorisation carries accountability for a production change and must stay with a named approver.</t>
  </si>
  <si>
    <t xml:space="preserve">Release</t>
  </si>
  <si>
    <t xml:space="preserve">Assemble the deployment validation call brief</t>
  </si>
  <si>
    <t xml:space="preserve">Generating the brief covering what was deployed, what to check and what failure looks like</t>
  </si>
  <si>
    <t xml:space="preserve">Assembly from the deployment record.</t>
  </si>
  <si>
    <t xml:space="preserve">Assemble the release-night runbook</t>
  </si>
  <si>
    <t xml:space="preserve">Assembly from known configuration.</t>
  </si>
  <si>
    <t xml:space="preserve">Support release-night and implementation activities</t>
  </si>
  <si>
    <t xml:space="preserve">Engineering; partner team; release management</t>
  </si>
  <si>
    <t xml:space="preserve">Supplying the runbook and the configuration record</t>
  </si>
  <si>
    <t xml:space="preserve">Issues at release night need someone who knows the configuration and can decide in minutes.</t>
  </si>
  <si>
    <t xml:space="preserve">Attend the deployment validation call</t>
  </si>
  <si>
    <t xml:space="preserve">Platform Support; engineering; partner team</t>
  </si>
  <si>
    <t xml:space="preserve">Supplying the brief</t>
  </si>
  <si>
    <t xml:space="preserve">Production-specific failures are diagnosable in minutes by the people who built the configuration — but only if they are present.</t>
  </si>
  <si>
    <t xml:space="preserve">Verify the final production call</t>
  </si>
  <si>
    <t xml:space="preserve">Platform Support; partner team</t>
  </si>
  <si>
    <t xml:space="preserve">Supplying the validation checklist</t>
  </si>
  <si>
    <t xml:space="preserve">Final confirmation that the solution operates as expected carries accountability.</t>
  </si>
  <si>
    <t xml:space="preserve">Handover</t>
  </si>
  <si>
    <t xml:space="preserve">Assemble the Platform Support handover pack</t>
  </si>
  <si>
    <t xml:space="preserve">Generating the pack from the onboarding record</t>
  </si>
  <si>
    <t xml:space="preserve">Complete the handover and confirm acceptance</t>
  </si>
  <si>
    <t xml:space="preserve">Platform Support; Delivery Management</t>
  </si>
  <si>
    <t xml:space="preserve">Assembling the pack and tracking acceptance</t>
  </si>
  <si>
    <t xml:space="preserve">Acceptance is support's decision and usually involves a walkthrough.</t>
  </si>
  <si>
    <t xml:space="preserve">Run post-go-live validation</t>
  </si>
  <si>
    <t xml:space="preserve">Running the checklist and reporting results</t>
  </si>
  <si>
    <t xml:space="preserve">Checklist execution can be automated; confirming business outcomes needs the partner.</t>
  </si>
  <si>
    <t xml:space="preserve">Cross-cutting</t>
  </si>
  <si>
    <t xml:space="preserve">Status &amp; reporting</t>
  </si>
  <si>
    <t xml:space="preserve">Maintain the end-to-end onboarding status view</t>
  </si>
  <si>
    <t xml:space="preserve">All teams; leadership</t>
  </si>
  <si>
    <t xml:space="preserve">A live view of state across all nine stages with outstanding items and owners</t>
  </si>
  <si>
    <t xml:space="preserve">Today this exists only in one person's head and in scattered trackers.</t>
  </si>
  <si>
    <t xml:space="preserve">Report stage dwell time and bottlenecks across active onboardings</t>
  </si>
  <si>
    <t xml:space="preserve">Leadership; ECM product management</t>
  </si>
  <si>
    <t xml:space="preserve">Ageing and bottleneck reporting across the portfolio</t>
  </si>
  <si>
    <t xml:space="preserve">Measurement that is not currently possible at all, and is the prerequisite for any benefits claim.</t>
  </si>
  <si>
    <t xml:space="preserve">Coordination</t>
  </si>
  <si>
    <t xml:space="preserve">Notify and chase stakeholders on raised, blocked, approved or overdue items</t>
  </si>
  <si>
    <t xml:space="preserve">All teams</t>
  </si>
  <si>
    <t xml:space="preserve">Automatic notification and escalation by item type and ageing</t>
  </si>
  <si>
    <t xml:space="preserve">Pure follow-up discipline, currently dependent on one person's memory.</t>
  </si>
  <si>
    <t xml:space="preserve">Advise on the escalation path for a blocked item</t>
  </si>
  <si>
    <t xml:space="preserve">Leadership; team leads</t>
  </si>
  <si>
    <t xml:space="preserve">Returning the escalation path by item type and ageing</t>
  </si>
  <si>
    <t xml:space="preserve">Documented reference knowledge.</t>
  </si>
  <si>
    <t xml:space="preserve">Record keeping</t>
  </si>
  <si>
    <t xml:space="preserve">Maintain the index of onboarding artefacts and their status</t>
  </si>
  <si>
    <t xml:space="preserve">All teams; audit</t>
  </si>
  <si>
    <t xml:space="preserve">Maintaining the index across agreement, questionnaire, trackers, transition page and sign-offs</t>
  </si>
  <si>
    <t xml:space="preserve">Capture the audit trail of actions, approvals and decisions</t>
  </si>
  <si>
    <t xml:space="preserve">Audit; governance; security</t>
  </si>
  <si>
    <t xml:space="preserve">Recording every action, the rule that authorised it and the human who approved it</t>
  </si>
  <si>
    <t xml:space="preserve">Produces a defensible history that does not reliably exist today.</t>
  </si>
  <si>
    <t xml:space="preserve">Knowledge</t>
  </si>
  <si>
    <t xml:space="preserve">Surface precedent from comparable prior onboardings</t>
  </si>
  <si>
    <t xml:space="preserve">Surfacing prior onboardings with a comparable profile and what was decided</t>
  </si>
  <si>
    <t xml:space="preserve">Retrieval against a growing record. Today precedent is reused only if someone remembers it.</t>
  </si>
  <si>
    <t xml:space="preserve">Act as subject-matter expert for partner questions</t>
  </si>
  <si>
    <t xml:space="preserve">Answering documented and procedural questions directly</t>
  </si>
  <si>
    <t xml:space="preserve">Documented questions can be answered automatically; novel or contested questions need the SME.</t>
  </si>
  <si>
    <t xml:space="preserve">Relationship</t>
  </si>
  <si>
    <t xml:space="preserve">Manage the partner relationship and set expectations</t>
  </si>
  <si>
    <t xml:space="preserve">Supplying status and evidence</t>
  </si>
  <si>
    <t xml:space="preserve">The ambassador role exists to reconcile the partner's delivery goals with enterprise content standards. That reconciliation is relationship work.</t>
  </si>
  <si>
    <t xml:space="preserve">Adapt the approach where an onboarding does not fit the standard pattern</t>
  </si>
  <si>
    <t xml:space="preserve">Flagging the deviation from the standard pattern</t>
  </si>
  <si>
    <t xml:space="preserve">Exception handling requires judgement about which rules can safely bend.</t>
  </si>
  <si>
    <t xml:space="preserve">Automation Assessment — Summary</t>
  </si>
  <si>
    <t xml:space="preserve">All counts are formulas over the Master Activity List. They update automatically if rows are added, changed or re-assessed.</t>
  </si>
  <si>
    <t xml:space="preserve">By verdict</t>
  </si>
  <si>
    <t xml:space="preserve">Verdict</t>
  </si>
  <si>
    <t xml:space="preserve">Activities</t>
  </si>
  <si>
    <t xml:space="preserve">% of total</t>
  </si>
  <si>
    <t xml:space="preserve">Total</t>
  </si>
  <si>
    <t xml:space="preserve">By stage</t>
  </si>
  <si>
    <t xml:space="preserve">% automatable or assisted</t>
  </si>
  <si>
    <t xml:space="preserve">What the numbers mean</t>
  </si>
  <si>
    <t xml:space="preserve">• The activities that must stay human are concentrated in three places: governance decisions, commitment and authorisation, and live sessions with people in the room.</t>
  </si>
  <si>
    <t xml:space="preserve">• The activities that can be automated in full are concentrated in record keeping, routing, status tracking, document generation and rule application.</t>
  </si>
  <si>
    <t xml:space="preserve">• Almost everything in the 'Assist' column follows the same pattern: a system can prepare, draft, route or track, but a named person completes the step or owns the decision.</t>
  </si>
  <si>
    <t xml:space="preserve">• No activity was assessed as automatable where getting it wrong would carry regulatory, security or contractual consequence without a human in the path.</t>
  </si>
  <si>
    <t xml:space="preserve">• This assessment describes what is possible. It does not claim a time saving — that requires a measured baseline of effort and elapsed time per stage, which does not exist today.</t>
  </si>
  <si>
    <t xml:space="preserve">Teams and Personas Referenced in the Master List</t>
  </si>
  <si>
    <t xml:space="preserve">Who the Partner Onboarding Resource works with, and what each is accountable for.</t>
  </si>
  <si>
    <t xml:space="preserve">Team / Persona</t>
  </si>
  <si>
    <t xml:space="preserve">Category</t>
  </si>
  <si>
    <t xml:space="preserve">Accountable for</t>
  </si>
  <si>
    <t xml:space="preserve">Partner side</t>
  </si>
  <si>
    <t xml:space="preserve">Submits the request, completes the Definition of Ready workbook, supplies document samples, builds the integration and runs acceptance testing.</t>
  </si>
  <si>
    <t xml:space="preserve">Business sponsor / business users</t>
  </si>
  <si>
    <t xml:space="preserve">States the business objective and the retention obligation, performs acceptance testing, consumes search and retrieval.</t>
  </si>
  <si>
    <t xml:space="preserve">ECM intake team (L4 / L3 product managers)</t>
  </si>
  <si>
    <t xml:space="preserve">ECM product</t>
  </si>
  <si>
    <t xml:space="preserve">Validates intake completeness, opens the triage state, identifies discovery participants, raises the epic and runs planning.</t>
  </si>
  <si>
    <t xml:space="preserve">Derive and apply area and impact labels, drive the triage state machine, manage the follow-up loop.</t>
  </si>
  <si>
    <t xml:space="preserve">Product owners and architects</t>
  </si>
  <si>
    <t xml:space="preserve">Own the scope outcome at discovery, assess architecture impact and delivery complexity, design the solution.</t>
  </si>
  <si>
    <t xml:space="preserve">LOB sponsor and liaisons</t>
  </si>
  <si>
    <t xml:space="preserve">Business</t>
  </si>
  <si>
    <t xml:space="preserve">Rank the demand within the Line of Business portfolio against value, regulatory impact, risk and strategic alignment.</t>
  </si>
  <si>
    <t xml:space="preserve">Determines trusted versus untrusted by viewing documents on the flow; allocates document category, type and subtype for trusted content; maintains the knowledge engine that governs classification of untrusted content.</t>
  </si>
  <si>
    <t xml:space="preserve">Delivery</t>
  </si>
  <si>
    <t xml:space="preserve">Return the capacity commitment, build and configure the solution, execute testing and promote through environments.</t>
  </si>
  <si>
    <t xml:space="preserve">Operations</t>
  </si>
  <si>
    <t xml:space="preserve">Accepts the production handover and operates the solution in business as usual.</t>
  </si>
  <si>
    <t xml:space="preserve">Delivery Management</t>
  </si>
  <si>
    <t xml:space="preserve">Receives the Release Transition information relevant to delivery oversight.</t>
  </si>
  <si>
    <t xml:space="preserve">Cloud and Hosting Engineering</t>
  </si>
  <si>
    <t xml:space="preserve">Receives the Release Transition information relevant to hosting and infrastructure.</t>
  </si>
  <si>
    <t xml:space="preserve">Records Management</t>
  </si>
  <si>
    <t xml:space="preserve">Specialist</t>
  </si>
  <si>
    <t xml:space="preserve">Reviews and approves the retention questionnaire, configures retention schedules, destruction policies and regulated storage.</t>
  </si>
  <si>
    <t xml:space="preserve">Classification team (iDocs)</t>
  </si>
  <si>
    <t xml:space="preserve">Operates AI classification of untrusted content against the model trained from the governance-maintained knowledge engine.</t>
  </si>
  <si>
    <t xml:space="preserve">Human-in-the-loop review team (IRM)</t>
  </si>
  <si>
    <t xml:space="preserve">Performs human validation where AI classification cannot confirm; operates pre-capture and post-capture workflows.</t>
  </si>
  <si>
    <t xml:space="preserve">Virus scanning (DCT)</t>
  </si>
  <si>
    <t xml:space="preserve">Scans all untrusted content before it reaches the platform.</t>
  </si>
  <si>
    <t xml:space="preserve">Kafka enablement (KEES)</t>
  </si>
  <si>
    <t xml:space="preserve">Onboards the partner to the event framework, creates consumer groups and enables ingestion notifications.</t>
  </si>
  <si>
    <t xml:space="preserve">Gateway team (Apigee)</t>
  </si>
  <si>
    <t xml:space="preserve">Onboards the partner application to the marketplace and approves API subscriptions.</t>
  </si>
  <si>
    <t xml:space="preserve">Load testing team (SPLI)</t>
  </si>
  <si>
    <t xml:space="preserve">Conducts volume-driven performance and load validation and issues the associated approvals.</t>
  </si>
  <si>
    <t xml:space="preserve">Own system and user security analysis, access approval and the access routing rules.</t>
  </si>
  <si>
    <t xml:space="preserve">Network team</t>
  </si>
  <si>
    <t xml:space="preserve">Opens connectivity from the partner zone to platform services.</t>
  </si>
  <si>
    <t xml:space="preserve">Certificate management</t>
  </si>
  <si>
    <t xml:space="preserve">Issues and renews certificates for secure service-to-service communication.</t>
  </si>
  <si>
    <t xml:space="preserve">Identity and access management</t>
  </si>
  <si>
    <t xml:space="preserve">Processes access requests for service accounts and human users across environments.</t>
  </si>
  <si>
    <t xml:space="preserve">UI team</t>
  </si>
  <si>
    <t xml:space="preserve">Supports user interface demonstration, training and user manual production.</t>
  </si>
  <si>
    <t xml:space="preserve">Provide technical, business and go-live authorisation.</t>
  </si>
  <si>
    <t xml:space="preserve">Audit and governance</t>
  </si>
  <si>
    <t xml:space="preserve">Rely on the retention configuration, the artefact record and the audit trail.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</si>
</sst>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E2761"/>
      <name val="Arial"/>
      <family val="0"/>
      <charset val="1"/>
    </font>
    <font>
      <sz val="9"/>
      <color rgb="FF5A6472"/>
      <name val="Arial"/>
      <family val="0"/>
      <charset val="1"/>
    </font>
    <font>
      <i val="true"/>
      <sz val="9"/>
      <color rgb="FF5A64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B2432"/>
      <name val="Arial"/>
      <family val="0"/>
      <charset val="1"/>
    </font>
    <font>
      <b val="true"/>
      <sz val="9"/>
      <color rgb="FF8C2F2F"/>
      <name val="Arial"/>
      <family val="0"/>
      <charset val="1"/>
    </font>
    <font>
      <b val="true"/>
      <sz val="9"/>
      <color rgb="FF1F5C35"/>
      <name val="Arial"/>
      <family val="0"/>
      <charset val="1"/>
    </font>
    <font>
      <b val="true"/>
      <sz val="9"/>
      <color rgb="FF8A5A12"/>
      <name val="Arial"/>
      <family val="0"/>
      <charset val="1"/>
    </font>
    <font>
      <sz val="10"/>
      <name val="Arial"/>
      <family val="2"/>
    </font>
    <font>
      <b val="true"/>
      <sz val="11"/>
      <color rgb="FF1E2761"/>
      <name val="Arial"/>
      <family val="0"/>
      <charset val="1"/>
    </font>
    <font>
      <b val="true"/>
      <sz val="10"/>
      <color rgb="FF1F5C35"/>
      <name val="Arial"/>
      <family val="0"/>
      <charset val="1"/>
    </font>
    <font>
      <b val="true"/>
      <sz val="10"/>
      <color rgb="FF8A5A12"/>
      <name val="Arial"/>
      <family val="0"/>
      <charset val="1"/>
    </font>
    <font>
      <b val="true"/>
      <sz val="10"/>
      <color rgb="FF8C2F2F"/>
      <name val="Arial"/>
      <family val="0"/>
      <charset val="1"/>
    </font>
    <font>
      <b val="true"/>
      <sz val="10"/>
      <color rgb="FF1B2432"/>
      <name val="Arial"/>
      <family val="0"/>
      <charset val="1"/>
    </font>
    <font>
      <b val="true"/>
      <sz val="10"/>
      <name val="Arial"/>
      <family val="0"/>
      <charset val="1"/>
    </font>
    <font>
      <sz val="9.5"/>
      <color rgb="FF1B2432"/>
      <name val="Arial"/>
      <family val="0"/>
      <charset val="1"/>
    </font>
    <font>
      <b val="true"/>
      <sz val="9"/>
      <color rgb="FF1B2432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E2761"/>
        <bgColor rgb="FF1B2432"/>
      </patternFill>
    </fill>
    <fill>
      <patternFill patternType="solid">
        <fgColor rgb="FFF6E7E7"/>
        <bgColor rgb="FFFBF0DC"/>
      </patternFill>
    </fill>
    <fill>
      <patternFill patternType="solid">
        <fgColor rgb="FFFFF6D6"/>
        <bgColor rgb="FFFBF0DC"/>
      </patternFill>
    </fill>
    <fill>
      <patternFill patternType="solid">
        <fgColor rgb="FFF4F6FA"/>
        <bgColor rgb="FFFFFFFF"/>
      </patternFill>
    </fill>
    <fill>
      <patternFill patternType="solid">
        <fgColor rgb="FFE3F0E7"/>
        <bgColor rgb="FFE8EBF2"/>
      </patternFill>
    </fill>
    <fill>
      <patternFill patternType="solid">
        <fgColor rgb="FFFBF0DC"/>
        <bgColor rgb="FFFFF6D6"/>
      </patternFill>
    </fill>
    <fill>
      <patternFill patternType="solid">
        <fgColor rgb="FFE8EBF2"/>
        <bgColor rgb="FFE3F0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6E0"/>
      </left>
      <right style="thin">
        <color rgb="FFD0D6E0"/>
      </right>
      <top style="thin">
        <color rgb="FFD0D6E0"/>
      </top>
      <bottom style="thin">
        <color rgb="FFD0D6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E2761"/>
          <bgColor rgb="FF000000"/>
        </patternFill>
      </fill>
    </dxf>
    <dxf>
      <fill>
        <patternFill patternType="solid">
          <fgColor rgb="FFF4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B243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0E7"/>
          <bgColor rgb="FF000000"/>
        </patternFill>
      </fill>
    </dxf>
    <dxf>
      <fill>
        <patternFill patternType="solid">
          <fgColor rgb="FFF6E7E7"/>
          <bgColor rgb="FF000000"/>
        </patternFill>
      </fill>
    </dxf>
    <dxf>
      <fill>
        <patternFill patternType="solid">
          <fgColor rgb="FFFBF0DC"/>
          <bgColor rgb="FF000000"/>
        </patternFill>
      </fill>
    </dxf>
    <dxf>
      <fill>
        <patternFill patternType="solid">
          <fgColor rgb="FF1F5C35"/>
          <bgColor rgb="FF000000"/>
        </patternFill>
      </fill>
    </dxf>
    <dxf>
      <fill>
        <patternFill patternType="solid">
          <fgColor rgb="FF8A5A12"/>
          <bgColor rgb="FF000000"/>
        </patternFill>
      </fill>
    </dxf>
    <dxf>
      <fill>
        <patternFill patternType="solid">
          <fgColor rgb="FF8C2F2F"/>
          <bgColor rgb="FF000000"/>
        </patternFill>
      </fill>
    </dxf>
    <dxf>
      <fill>
        <patternFill patternType="solid">
          <fgColor rgb="FFFFF6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5C35"/>
      <rgbColor rgb="FF000080"/>
      <rgbColor rgb="FF8A5A12"/>
      <rgbColor rgb="FF800080"/>
      <rgbColor rgb="FF008080"/>
      <rgbColor rgb="FFC0C0C0"/>
      <rgbColor rgb="FF808080"/>
      <rgbColor rgb="FF9999FF"/>
      <rgbColor rgb="FF993366"/>
      <rgbColor rgb="FFFFF6D6"/>
      <rgbColor rgb="FFE3F0E7"/>
      <rgbColor rgb="FF660066"/>
      <rgbColor rgb="FFFF8080"/>
      <rgbColor rgb="FF0066CC"/>
      <rgbColor rgb="FFD0D6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BF2"/>
      <rgbColor rgb="FFF4F6FA"/>
      <rgbColor rgb="FFFBF0DC"/>
      <rgbColor rgb="FF99CCFF"/>
      <rgbColor rgb="FFFF99CC"/>
      <rgbColor rgb="FFCC99FF"/>
      <rgbColor rgb="FFF6E7E7"/>
      <rgbColor rgb="FF3366FF"/>
      <rgbColor rgb="FF33CCCC"/>
      <rgbColor rgb="FF99CC00"/>
      <rgbColor rgb="FFFFCC00"/>
      <rgbColor rgb="FFFF9900"/>
      <rgbColor rgb="FFFF6600"/>
      <rgbColor rgb="FF5A6472"/>
      <rgbColor rgb="FF969696"/>
      <rgbColor rgb="FF1E2761"/>
      <rgbColor rgb="FF339966"/>
      <rgbColor rgb="FF003300"/>
      <rgbColor rgb="FF333300"/>
      <rgbColor rgb="FF8C2F2F"/>
      <rgbColor rgb="FF993366"/>
      <rgbColor rgb="FF333399"/>
      <rgbColor rgb="FF1B24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52"/>
    <col collapsed="false" customWidth="true" hidden="false" outlineLevel="0" max="5" min="5" style="0" width="34"/>
    <col collapsed="false" customWidth="true" hidden="false" outlineLevel="0" max="6" min="6" style="0" width="20"/>
    <col collapsed="false" customWidth="true" hidden="false" outlineLevel="0" max="7" min="7" style="0" width="48"/>
    <col collapsed="false" customWidth="true" hidden="false" outlineLevel="0" max="8" min="8" style="0" width="62"/>
    <col collapsed="false" customWidth="true" hidden="false" outlineLevel="0" max="9" min="9" style="0" width="18"/>
    <col collapsed="false" customWidth="true" hidden="false" outlineLevel="0" max="10" min="10" style="0" width="28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3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22.35" hidden="false" customHeight="false" outlineLevel="0" collapsed="false">
      <c r="A6" s="5" t="n">
        <v>1</v>
      </c>
      <c r="B6" s="6" t="s">
        <v>13</v>
      </c>
      <c r="C6" s="6" t="s">
        <v>14</v>
      </c>
      <c r="D6" s="6" t="s">
        <v>15</v>
      </c>
      <c r="E6" s="6" t="s">
        <v>16</v>
      </c>
      <c r="F6" s="7" t="s">
        <v>17</v>
      </c>
      <c r="G6" s="6" t="s">
        <v>18</v>
      </c>
      <c r="H6" s="6" t="s">
        <v>19</v>
      </c>
      <c r="I6" s="8"/>
      <c r="J6" s="8"/>
    </row>
    <row r="7" customFormat="false" ht="22.35" hidden="false" customHeight="false" outlineLevel="0" collapsed="false">
      <c r="A7" s="9" t="n">
        <v>2</v>
      </c>
      <c r="B7" s="10" t="s">
        <v>13</v>
      </c>
      <c r="C7" s="10" t="s">
        <v>14</v>
      </c>
      <c r="D7" s="10" t="s">
        <v>20</v>
      </c>
      <c r="E7" s="10" t="s">
        <v>21</v>
      </c>
      <c r="F7" s="11" t="s">
        <v>22</v>
      </c>
      <c r="G7" s="10" t="s">
        <v>23</v>
      </c>
      <c r="H7" s="10" t="s">
        <v>24</v>
      </c>
      <c r="I7" s="8"/>
      <c r="J7" s="8"/>
    </row>
    <row r="8" customFormat="false" ht="22.35" hidden="false" customHeight="false" outlineLevel="0" collapsed="false">
      <c r="A8" s="5" t="n">
        <v>3</v>
      </c>
      <c r="B8" s="6" t="s">
        <v>13</v>
      </c>
      <c r="C8" s="6" t="s">
        <v>25</v>
      </c>
      <c r="D8" s="6" t="s">
        <v>26</v>
      </c>
      <c r="E8" s="6" t="s">
        <v>21</v>
      </c>
      <c r="F8" s="11" t="s">
        <v>22</v>
      </c>
      <c r="G8" s="6" t="s">
        <v>27</v>
      </c>
      <c r="H8" s="6" t="s">
        <v>28</v>
      </c>
      <c r="I8" s="8"/>
      <c r="J8" s="8"/>
    </row>
    <row r="9" customFormat="false" ht="22.35" hidden="false" customHeight="false" outlineLevel="0" collapsed="false">
      <c r="A9" s="9" t="n">
        <v>4</v>
      </c>
      <c r="B9" s="10" t="s">
        <v>13</v>
      </c>
      <c r="C9" s="10" t="s">
        <v>25</v>
      </c>
      <c r="D9" s="10" t="s">
        <v>29</v>
      </c>
      <c r="E9" s="10" t="s">
        <v>30</v>
      </c>
      <c r="F9" s="12" t="s">
        <v>31</v>
      </c>
      <c r="G9" s="10" t="s">
        <v>32</v>
      </c>
      <c r="H9" s="10" t="s">
        <v>33</v>
      </c>
      <c r="I9" s="8"/>
      <c r="J9" s="8"/>
    </row>
    <row r="10" customFormat="false" ht="22.35" hidden="false" customHeight="false" outlineLevel="0" collapsed="false">
      <c r="A10" s="5" t="n">
        <v>5</v>
      </c>
      <c r="B10" s="6" t="s">
        <v>13</v>
      </c>
      <c r="C10" s="6" t="s">
        <v>25</v>
      </c>
      <c r="D10" s="6" t="s">
        <v>34</v>
      </c>
      <c r="E10" s="6" t="s">
        <v>21</v>
      </c>
      <c r="F10" s="12" t="s">
        <v>31</v>
      </c>
      <c r="G10" s="6" t="s">
        <v>35</v>
      </c>
      <c r="H10" s="6" t="s">
        <v>36</v>
      </c>
      <c r="I10" s="8"/>
      <c r="J10" s="8"/>
    </row>
    <row r="11" customFormat="false" ht="22.35" hidden="false" customHeight="false" outlineLevel="0" collapsed="false">
      <c r="A11" s="9" t="n">
        <v>6</v>
      </c>
      <c r="B11" s="10" t="s">
        <v>13</v>
      </c>
      <c r="C11" s="10" t="s">
        <v>25</v>
      </c>
      <c r="D11" s="10" t="s">
        <v>37</v>
      </c>
      <c r="E11" s="10" t="s">
        <v>21</v>
      </c>
      <c r="F11" s="11" t="s">
        <v>22</v>
      </c>
      <c r="G11" s="10" t="s">
        <v>38</v>
      </c>
      <c r="H11" s="10" t="s">
        <v>39</v>
      </c>
      <c r="I11" s="8"/>
      <c r="J11" s="8"/>
    </row>
    <row r="12" customFormat="false" ht="22.35" hidden="false" customHeight="false" outlineLevel="0" collapsed="false">
      <c r="A12" s="5" t="n">
        <v>7</v>
      </c>
      <c r="B12" s="6" t="s">
        <v>13</v>
      </c>
      <c r="C12" s="6" t="s">
        <v>25</v>
      </c>
      <c r="D12" s="6" t="s">
        <v>40</v>
      </c>
      <c r="E12" s="6" t="s">
        <v>21</v>
      </c>
      <c r="F12" s="12" t="s">
        <v>31</v>
      </c>
      <c r="G12" s="6" t="s">
        <v>41</v>
      </c>
      <c r="H12" s="6" t="s">
        <v>42</v>
      </c>
      <c r="I12" s="8"/>
      <c r="J12" s="8"/>
    </row>
    <row r="13" customFormat="false" ht="22.35" hidden="false" customHeight="false" outlineLevel="0" collapsed="false">
      <c r="A13" s="9" t="n">
        <v>8</v>
      </c>
      <c r="B13" s="10" t="s">
        <v>13</v>
      </c>
      <c r="C13" s="10" t="s">
        <v>25</v>
      </c>
      <c r="D13" s="10" t="s">
        <v>43</v>
      </c>
      <c r="E13" s="10" t="s">
        <v>21</v>
      </c>
      <c r="F13" s="11" t="s">
        <v>22</v>
      </c>
      <c r="G13" s="10" t="s">
        <v>44</v>
      </c>
      <c r="H13" s="10" t="s">
        <v>45</v>
      </c>
      <c r="I13" s="8"/>
      <c r="J13" s="8"/>
    </row>
    <row r="14" customFormat="false" ht="22.35" hidden="false" customHeight="false" outlineLevel="0" collapsed="false">
      <c r="A14" s="5" t="n">
        <v>9</v>
      </c>
      <c r="B14" s="6" t="s">
        <v>13</v>
      </c>
      <c r="C14" s="6" t="s">
        <v>25</v>
      </c>
      <c r="D14" s="6" t="s">
        <v>46</v>
      </c>
      <c r="E14" s="6" t="s">
        <v>47</v>
      </c>
      <c r="F14" s="12" t="s">
        <v>31</v>
      </c>
      <c r="G14" s="6" t="s">
        <v>48</v>
      </c>
      <c r="H14" s="6" t="s">
        <v>49</v>
      </c>
      <c r="I14" s="8"/>
      <c r="J14" s="8"/>
    </row>
    <row r="15" customFormat="false" ht="22.35" hidden="false" customHeight="false" outlineLevel="0" collapsed="false">
      <c r="A15" s="9" t="n">
        <v>10</v>
      </c>
      <c r="B15" s="10" t="s">
        <v>13</v>
      </c>
      <c r="C15" s="10" t="s">
        <v>25</v>
      </c>
      <c r="D15" s="10" t="s">
        <v>50</v>
      </c>
      <c r="E15" s="10" t="s">
        <v>51</v>
      </c>
      <c r="F15" s="12" t="s">
        <v>31</v>
      </c>
      <c r="G15" s="10" t="s">
        <v>52</v>
      </c>
      <c r="H15" s="10" t="s">
        <v>53</v>
      </c>
      <c r="I15" s="8"/>
      <c r="J15" s="8"/>
    </row>
    <row r="16" customFormat="false" ht="22.35" hidden="false" customHeight="false" outlineLevel="0" collapsed="false">
      <c r="A16" s="5" t="n">
        <v>11</v>
      </c>
      <c r="B16" s="6" t="s">
        <v>13</v>
      </c>
      <c r="C16" s="6" t="s">
        <v>25</v>
      </c>
      <c r="D16" s="6" t="s">
        <v>54</v>
      </c>
      <c r="E16" s="6" t="s">
        <v>21</v>
      </c>
      <c r="F16" s="11" t="s">
        <v>22</v>
      </c>
      <c r="G16" s="6" t="s">
        <v>55</v>
      </c>
      <c r="H16" s="6" t="s">
        <v>56</v>
      </c>
      <c r="I16" s="8"/>
      <c r="J16" s="8"/>
    </row>
    <row r="17" customFormat="false" ht="22.35" hidden="false" customHeight="false" outlineLevel="0" collapsed="false">
      <c r="A17" s="9" t="n">
        <v>12</v>
      </c>
      <c r="B17" s="10" t="s">
        <v>13</v>
      </c>
      <c r="C17" s="10" t="s">
        <v>25</v>
      </c>
      <c r="D17" s="10" t="s">
        <v>57</v>
      </c>
      <c r="E17" s="10" t="s">
        <v>21</v>
      </c>
      <c r="F17" s="11" t="s">
        <v>22</v>
      </c>
      <c r="G17" s="10" t="s">
        <v>58</v>
      </c>
      <c r="H17" s="10" t="s">
        <v>59</v>
      </c>
      <c r="I17" s="8"/>
      <c r="J17" s="8"/>
    </row>
    <row r="18" customFormat="false" ht="22.35" hidden="false" customHeight="false" outlineLevel="0" collapsed="false">
      <c r="A18" s="5" t="n">
        <v>13</v>
      </c>
      <c r="B18" s="6" t="s">
        <v>13</v>
      </c>
      <c r="C18" s="6" t="s">
        <v>25</v>
      </c>
      <c r="D18" s="6" t="s">
        <v>60</v>
      </c>
      <c r="E18" s="6" t="s">
        <v>61</v>
      </c>
      <c r="F18" s="11" t="s">
        <v>22</v>
      </c>
      <c r="G18" s="6" t="s">
        <v>62</v>
      </c>
      <c r="H18" s="6" t="s">
        <v>63</v>
      </c>
      <c r="I18" s="8"/>
      <c r="J18" s="8"/>
    </row>
    <row r="19" customFormat="false" ht="22.35" hidden="false" customHeight="false" outlineLevel="0" collapsed="false">
      <c r="A19" s="9" t="n">
        <v>14</v>
      </c>
      <c r="B19" s="10" t="s">
        <v>64</v>
      </c>
      <c r="C19" s="10" t="s">
        <v>65</v>
      </c>
      <c r="D19" s="10" t="s">
        <v>66</v>
      </c>
      <c r="E19" s="10" t="s">
        <v>67</v>
      </c>
      <c r="F19" s="12" t="s">
        <v>31</v>
      </c>
      <c r="G19" s="10" t="s">
        <v>68</v>
      </c>
      <c r="H19" s="10" t="s">
        <v>69</v>
      </c>
      <c r="I19" s="8"/>
      <c r="J19" s="8"/>
    </row>
    <row r="20" customFormat="false" ht="22.35" hidden="false" customHeight="false" outlineLevel="0" collapsed="false">
      <c r="A20" s="5" t="n">
        <v>15</v>
      </c>
      <c r="B20" s="6" t="s">
        <v>64</v>
      </c>
      <c r="C20" s="6" t="s">
        <v>65</v>
      </c>
      <c r="D20" s="6" t="s">
        <v>70</v>
      </c>
      <c r="E20" s="6" t="s">
        <v>21</v>
      </c>
      <c r="F20" s="11" t="s">
        <v>22</v>
      </c>
      <c r="G20" s="6" t="s">
        <v>71</v>
      </c>
      <c r="H20" s="6" t="s">
        <v>72</v>
      </c>
      <c r="I20" s="8"/>
      <c r="J20" s="8"/>
    </row>
    <row r="21" customFormat="false" ht="22.35" hidden="false" customHeight="false" outlineLevel="0" collapsed="false">
      <c r="A21" s="9" t="n">
        <v>16</v>
      </c>
      <c r="B21" s="10" t="s">
        <v>64</v>
      </c>
      <c r="C21" s="10" t="s">
        <v>73</v>
      </c>
      <c r="D21" s="10" t="s">
        <v>74</v>
      </c>
      <c r="E21" s="10" t="s">
        <v>75</v>
      </c>
      <c r="F21" s="12" t="s">
        <v>31</v>
      </c>
      <c r="G21" s="10" t="s">
        <v>76</v>
      </c>
      <c r="H21" s="10" t="s">
        <v>77</v>
      </c>
      <c r="I21" s="8"/>
      <c r="J21" s="8"/>
    </row>
    <row r="22" customFormat="false" ht="15" hidden="false" customHeight="false" outlineLevel="0" collapsed="false">
      <c r="A22" s="5" t="n">
        <v>17</v>
      </c>
      <c r="B22" s="6" t="s">
        <v>64</v>
      </c>
      <c r="C22" s="6" t="s">
        <v>73</v>
      </c>
      <c r="D22" s="6" t="s">
        <v>78</v>
      </c>
      <c r="E22" s="6" t="s">
        <v>79</v>
      </c>
      <c r="F22" s="11" t="s">
        <v>22</v>
      </c>
      <c r="G22" s="6" t="s">
        <v>80</v>
      </c>
      <c r="H22" s="6" t="s">
        <v>81</v>
      </c>
      <c r="I22" s="8"/>
      <c r="J22" s="8"/>
    </row>
    <row r="23" customFormat="false" ht="22.35" hidden="false" customHeight="false" outlineLevel="0" collapsed="false">
      <c r="A23" s="9" t="n">
        <v>18</v>
      </c>
      <c r="B23" s="10" t="s">
        <v>64</v>
      </c>
      <c r="C23" s="10" t="s">
        <v>73</v>
      </c>
      <c r="D23" s="10" t="s">
        <v>82</v>
      </c>
      <c r="E23" s="10" t="s">
        <v>83</v>
      </c>
      <c r="F23" s="11" t="s">
        <v>22</v>
      </c>
      <c r="G23" s="10" t="s">
        <v>84</v>
      </c>
      <c r="H23" s="10" t="s">
        <v>85</v>
      </c>
      <c r="I23" s="8"/>
      <c r="J23" s="8"/>
    </row>
    <row r="24" customFormat="false" ht="15" hidden="false" customHeight="false" outlineLevel="0" collapsed="false">
      <c r="A24" s="5" t="n">
        <v>19</v>
      </c>
      <c r="B24" s="6" t="s">
        <v>64</v>
      </c>
      <c r="C24" s="6" t="s">
        <v>86</v>
      </c>
      <c r="D24" s="6" t="s">
        <v>87</v>
      </c>
      <c r="E24" s="6" t="s">
        <v>88</v>
      </c>
      <c r="F24" s="11" t="s">
        <v>22</v>
      </c>
      <c r="G24" s="6" t="s">
        <v>89</v>
      </c>
      <c r="H24" s="6" t="s">
        <v>90</v>
      </c>
      <c r="I24" s="8"/>
      <c r="J24" s="8"/>
    </row>
    <row r="25" customFormat="false" ht="22.35" hidden="false" customHeight="false" outlineLevel="0" collapsed="false">
      <c r="A25" s="9" t="n">
        <v>20</v>
      </c>
      <c r="B25" s="10" t="s">
        <v>91</v>
      </c>
      <c r="C25" s="10" t="s">
        <v>92</v>
      </c>
      <c r="D25" s="10" t="s">
        <v>93</v>
      </c>
      <c r="E25" s="10" t="s">
        <v>94</v>
      </c>
      <c r="F25" s="11" t="s">
        <v>22</v>
      </c>
      <c r="G25" s="10" t="s">
        <v>95</v>
      </c>
      <c r="H25" s="10" t="s">
        <v>96</v>
      </c>
      <c r="I25" s="8"/>
      <c r="J25" s="8"/>
    </row>
    <row r="26" customFormat="false" ht="22.35" hidden="false" customHeight="false" outlineLevel="0" collapsed="false">
      <c r="A26" s="5" t="n">
        <v>21</v>
      </c>
      <c r="B26" s="6" t="s">
        <v>91</v>
      </c>
      <c r="C26" s="6" t="s">
        <v>92</v>
      </c>
      <c r="D26" s="6" t="s">
        <v>97</v>
      </c>
      <c r="E26" s="6" t="s">
        <v>98</v>
      </c>
      <c r="F26" s="12" t="s">
        <v>31</v>
      </c>
      <c r="G26" s="6" t="s">
        <v>99</v>
      </c>
      <c r="H26" s="6" t="s">
        <v>100</v>
      </c>
      <c r="I26" s="8"/>
      <c r="J26" s="8"/>
    </row>
    <row r="27" customFormat="false" ht="22.35" hidden="false" customHeight="false" outlineLevel="0" collapsed="false">
      <c r="A27" s="9" t="n">
        <v>22</v>
      </c>
      <c r="B27" s="10" t="s">
        <v>91</v>
      </c>
      <c r="C27" s="10" t="s">
        <v>101</v>
      </c>
      <c r="D27" s="10" t="s">
        <v>102</v>
      </c>
      <c r="E27" s="10" t="s">
        <v>94</v>
      </c>
      <c r="F27" s="7" t="s">
        <v>17</v>
      </c>
      <c r="G27" s="10" t="s">
        <v>103</v>
      </c>
      <c r="H27" s="10" t="s">
        <v>104</v>
      </c>
      <c r="I27" s="8"/>
      <c r="J27" s="8"/>
    </row>
    <row r="28" customFormat="false" ht="22.35" hidden="false" customHeight="false" outlineLevel="0" collapsed="false">
      <c r="A28" s="5" t="n">
        <v>23</v>
      </c>
      <c r="B28" s="6" t="s">
        <v>91</v>
      </c>
      <c r="C28" s="6" t="s">
        <v>105</v>
      </c>
      <c r="D28" s="6" t="s">
        <v>106</v>
      </c>
      <c r="E28" s="6" t="s">
        <v>21</v>
      </c>
      <c r="F28" s="11" t="s">
        <v>22</v>
      </c>
      <c r="G28" s="6" t="s">
        <v>107</v>
      </c>
      <c r="H28" s="6" t="s">
        <v>108</v>
      </c>
      <c r="I28" s="8"/>
      <c r="J28" s="8"/>
    </row>
    <row r="29" customFormat="false" ht="22.35" hidden="false" customHeight="false" outlineLevel="0" collapsed="false">
      <c r="A29" s="9" t="n">
        <v>24</v>
      </c>
      <c r="B29" s="10" t="s">
        <v>109</v>
      </c>
      <c r="C29" s="10" t="s">
        <v>110</v>
      </c>
      <c r="D29" s="10" t="s">
        <v>111</v>
      </c>
      <c r="E29" s="10" t="s">
        <v>112</v>
      </c>
      <c r="F29" s="7" t="s">
        <v>17</v>
      </c>
      <c r="G29" s="10" t="s">
        <v>113</v>
      </c>
      <c r="H29" s="10" t="s">
        <v>114</v>
      </c>
      <c r="I29" s="8"/>
      <c r="J29" s="8"/>
    </row>
    <row r="30" customFormat="false" ht="22.35" hidden="false" customHeight="false" outlineLevel="0" collapsed="false">
      <c r="A30" s="5" t="n">
        <v>25</v>
      </c>
      <c r="B30" s="6" t="s">
        <v>109</v>
      </c>
      <c r="C30" s="6" t="s">
        <v>115</v>
      </c>
      <c r="D30" s="6" t="s">
        <v>116</v>
      </c>
      <c r="E30" s="6" t="s">
        <v>117</v>
      </c>
      <c r="F30" s="12" t="s">
        <v>31</v>
      </c>
      <c r="G30" s="6" t="s">
        <v>118</v>
      </c>
      <c r="H30" s="6" t="s">
        <v>119</v>
      </c>
      <c r="I30" s="8"/>
      <c r="J30" s="8"/>
    </row>
    <row r="31" customFormat="false" ht="32.8" hidden="false" customHeight="false" outlineLevel="0" collapsed="false">
      <c r="A31" s="9" t="n">
        <v>26</v>
      </c>
      <c r="B31" s="10" t="s">
        <v>109</v>
      </c>
      <c r="C31" s="10" t="s">
        <v>115</v>
      </c>
      <c r="D31" s="10" t="s">
        <v>120</v>
      </c>
      <c r="E31" s="10" t="s">
        <v>83</v>
      </c>
      <c r="F31" s="7" t="s">
        <v>17</v>
      </c>
      <c r="G31" s="10" t="s">
        <v>121</v>
      </c>
      <c r="H31" s="10" t="s">
        <v>122</v>
      </c>
      <c r="I31" s="8"/>
      <c r="J31" s="8"/>
    </row>
    <row r="32" customFormat="false" ht="22.35" hidden="false" customHeight="false" outlineLevel="0" collapsed="false">
      <c r="A32" s="5" t="n">
        <v>27</v>
      </c>
      <c r="B32" s="6" t="s">
        <v>109</v>
      </c>
      <c r="C32" s="6" t="s">
        <v>115</v>
      </c>
      <c r="D32" s="6" t="s">
        <v>123</v>
      </c>
      <c r="E32" s="6" t="s">
        <v>83</v>
      </c>
      <c r="F32" s="7" t="s">
        <v>17</v>
      </c>
      <c r="G32" s="6" t="s">
        <v>124</v>
      </c>
      <c r="H32" s="6" t="s">
        <v>125</v>
      </c>
      <c r="I32" s="8"/>
      <c r="J32" s="8"/>
    </row>
    <row r="33" customFormat="false" ht="22.35" hidden="false" customHeight="false" outlineLevel="0" collapsed="false">
      <c r="A33" s="9" t="n">
        <v>28</v>
      </c>
      <c r="B33" s="10" t="s">
        <v>109</v>
      </c>
      <c r="C33" s="10" t="s">
        <v>115</v>
      </c>
      <c r="D33" s="10" t="s">
        <v>126</v>
      </c>
      <c r="E33" s="10" t="s">
        <v>127</v>
      </c>
      <c r="F33" s="12" t="s">
        <v>31</v>
      </c>
      <c r="G33" s="10" t="s">
        <v>128</v>
      </c>
      <c r="H33" s="10" t="s">
        <v>129</v>
      </c>
      <c r="I33" s="8"/>
      <c r="J33" s="8"/>
    </row>
    <row r="34" customFormat="false" ht="22.35" hidden="false" customHeight="false" outlineLevel="0" collapsed="false">
      <c r="A34" s="5" t="n">
        <v>29</v>
      </c>
      <c r="B34" s="6" t="s">
        <v>109</v>
      </c>
      <c r="C34" s="6" t="s">
        <v>115</v>
      </c>
      <c r="D34" s="6" t="s">
        <v>130</v>
      </c>
      <c r="E34" s="6" t="s">
        <v>131</v>
      </c>
      <c r="F34" s="11" t="s">
        <v>22</v>
      </c>
      <c r="G34" s="6" t="s">
        <v>132</v>
      </c>
      <c r="H34" s="6" t="s">
        <v>133</v>
      </c>
      <c r="I34" s="8"/>
      <c r="J34" s="8"/>
    </row>
    <row r="35" customFormat="false" ht="22.35" hidden="false" customHeight="false" outlineLevel="0" collapsed="false">
      <c r="A35" s="9" t="n">
        <v>30</v>
      </c>
      <c r="B35" s="10" t="s">
        <v>109</v>
      </c>
      <c r="C35" s="10" t="s">
        <v>134</v>
      </c>
      <c r="D35" s="10" t="s">
        <v>135</v>
      </c>
      <c r="E35" s="10" t="s">
        <v>136</v>
      </c>
      <c r="F35" s="11" t="s">
        <v>22</v>
      </c>
      <c r="G35" s="10" t="s">
        <v>137</v>
      </c>
      <c r="H35" s="10" t="s">
        <v>138</v>
      </c>
      <c r="I35" s="8"/>
      <c r="J35" s="8"/>
    </row>
    <row r="36" customFormat="false" ht="22.35" hidden="false" customHeight="false" outlineLevel="0" collapsed="false">
      <c r="A36" s="5" t="n">
        <v>31</v>
      </c>
      <c r="B36" s="6" t="s">
        <v>109</v>
      </c>
      <c r="C36" s="6" t="s">
        <v>134</v>
      </c>
      <c r="D36" s="6" t="s">
        <v>139</v>
      </c>
      <c r="E36" s="6" t="s">
        <v>140</v>
      </c>
      <c r="F36" s="7" t="s">
        <v>17</v>
      </c>
      <c r="G36" s="6" t="s">
        <v>141</v>
      </c>
      <c r="H36" s="6" t="s">
        <v>142</v>
      </c>
      <c r="I36" s="8"/>
      <c r="J36" s="8"/>
    </row>
    <row r="37" customFormat="false" ht="22.35" hidden="false" customHeight="false" outlineLevel="0" collapsed="false">
      <c r="A37" s="9" t="n">
        <v>32</v>
      </c>
      <c r="B37" s="10" t="s">
        <v>109</v>
      </c>
      <c r="C37" s="10" t="s">
        <v>134</v>
      </c>
      <c r="D37" s="10" t="s">
        <v>143</v>
      </c>
      <c r="E37" s="10" t="s">
        <v>144</v>
      </c>
      <c r="F37" s="12" t="s">
        <v>31</v>
      </c>
      <c r="G37" s="10" t="s">
        <v>145</v>
      </c>
      <c r="H37" s="10" t="s">
        <v>146</v>
      </c>
      <c r="I37" s="8"/>
      <c r="J37" s="8"/>
    </row>
    <row r="38" customFormat="false" ht="15" hidden="false" customHeight="false" outlineLevel="0" collapsed="false">
      <c r="A38" s="5" t="n">
        <v>33</v>
      </c>
      <c r="B38" s="6" t="s">
        <v>109</v>
      </c>
      <c r="C38" s="6" t="s">
        <v>134</v>
      </c>
      <c r="D38" s="6" t="s">
        <v>147</v>
      </c>
      <c r="E38" s="6" t="s">
        <v>148</v>
      </c>
      <c r="F38" s="12" t="s">
        <v>31</v>
      </c>
      <c r="G38" s="6" t="s">
        <v>149</v>
      </c>
      <c r="H38" s="6" t="s">
        <v>150</v>
      </c>
      <c r="I38" s="8"/>
      <c r="J38" s="8"/>
    </row>
    <row r="39" customFormat="false" ht="22.35" hidden="false" customHeight="false" outlineLevel="0" collapsed="false">
      <c r="A39" s="9" t="n">
        <v>34</v>
      </c>
      <c r="B39" s="10" t="s">
        <v>109</v>
      </c>
      <c r="C39" s="10" t="s">
        <v>134</v>
      </c>
      <c r="D39" s="10" t="s">
        <v>151</v>
      </c>
      <c r="E39" s="10" t="s">
        <v>140</v>
      </c>
      <c r="F39" s="7" t="s">
        <v>17</v>
      </c>
      <c r="G39" s="10" t="s">
        <v>152</v>
      </c>
      <c r="H39" s="10" t="s">
        <v>153</v>
      </c>
      <c r="I39" s="8"/>
      <c r="J39" s="8"/>
    </row>
    <row r="40" customFormat="false" ht="22.35" hidden="false" customHeight="false" outlineLevel="0" collapsed="false">
      <c r="A40" s="5" t="n">
        <v>35</v>
      </c>
      <c r="B40" s="6" t="s">
        <v>109</v>
      </c>
      <c r="C40" s="6" t="s">
        <v>154</v>
      </c>
      <c r="D40" s="6" t="s">
        <v>155</v>
      </c>
      <c r="E40" s="6" t="s">
        <v>156</v>
      </c>
      <c r="F40" s="11" t="s">
        <v>22</v>
      </c>
      <c r="G40" s="6" t="s">
        <v>157</v>
      </c>
      <c r="H40" s="6" t="s">
        <v>158</v>
      </c>
      <c r="I40" s="8"/>
      <c r="J40" s="8"/>
    </row>
    <row r="41" customFormat="false" ht="22.35" hidden="false" customHeight="false" outlineLevel="0" collapsed="false">
      <c r="A41" s="9" t="n">
        <v>36</v>
      </c>
      <c r="B41" s="10" t="s">
        <v>109</v>
      </c>
      <c r="C41" s="10" t="s">
        <v>154</v>
      </c>
      <c r="D41" s="10" t="s">
        <v>159</v>
      </c>
      <c r="E41" s="10" t="s">
        <v>156</v>
      </c>
      <c r="F41" s="11" t="s">
        <v>22</v>
      </c>
      <c r="G41" s="10" t="s">
        <v>160</v>
      </c>
      <c r="H41" s="10" t="s">
        <v>161</v>
      </c>
      <c r="I41" s="8"/>
      <c r="J41" s="8"/>
    </row>
    <row r="42" customFormat="false" ht="22.35" hidden="false" customHeight="false" outlineLevel="0" collapsed="false">
      <c r="A42" s="5" t="n">
        <v>37</v>
      </c>
      <c r="B42" s="6" t="s">
        <v>109</v>
      </c>
      <c r="C42" s="6" t="s">
        <v>154</v>
      </c>
      <c r="D42" s="6" t="s">
        <v>162</v>
      </c>
      <c r="E42" s="6" t="s">
        <v>156</v>
      </c>
      <c r="F42" s="11" t="s">
        <v>22</v>
      </c>
      <c r="G42" s="6" t="s">
        <v>163</v>
      </c>
      <c r="H42" s="6" t="s">
        <v>164</v>
      </c>
      <c r="I42" s="8"/>
      <c r="J42" s="8"/>
    </row>
    <row r="43" customFormat="false" ht="22.35" hidden="false" customHeight="false" outlineLevel="0" collapsed="false">
      <c r="A43" s="9" t="n">
        <v>38</v>
      </c>
      <c r="B43" s="10" t="s">
        <v>109</v>
      </c>
      <c r="C43" s="10" t="s">
        <v>154</v>
      </c>
      <c r="D43" s="10" t="s">
        <v>165</v>
      </c>
      <c r="E43" s="10" t="s">
        <v>166</v>
      </c>
      <c r="F43" s="11" t="s">
        <v>22</v>
      </c>
      <c r="G43" s="10" t="s">
        <v>167</v>
      </c>
      <c r="H43" s="10" t="s">
        <v>168</v>
      </c>
      <c r="I43" s="8"/>
      <c r="J43" s="8"/>
    </row>
    <row r="44" customFormat="false" ht="15" hidden="false" customHeight="false" outlineLevel="0" collapsed="false">
      <c r="A44" s="5" t="n">
        <v>39</v>
      </c>
      <c r="B44" s="6" t="s">
        <v>109</v>
      </c>
      <c r="C44" s="6" t="s">
        <v>154</v>
      </c>
      <c r="D44" s="6" t="s">
        <v>169</v>
      </c>
      <c r="E44" s="6" t="s">
        <v>79</v>
      </c>
      <c r="F44" s="11" t="s">
        <v>22</v>
      </c>
      <c r="G44" s="6" t="s">
        <v>170</v>
      </c>
      <c r="H44" s="6" t="s">
        <v>171</v>
      </c>
      <c r="I44" s="8"/>
      <c r="J44" s="8"/>
    </row>
    <row r="45" customFormat="false" ht="22.35" hidden="false" customHeight="false" outlineLevel="0" collapsed="false">
      <c r="A45" s="9" t="n">
        <v>40</v>
      </c>
      <c r="B45" s="10" t="s">
        <v>172</v>
      </c>
      <c r="C45" s="10" t="s">
        <v>173</v>
      </c>
      <c r="D45" s="10" t="s">
        <v>174</v>
      </c>
      <c r="E45" s="10" t="s">
        <v>175</v>
      </c>
      <c r="F45" s="11" t="s">
        <v>22</v>
      </c>
      <c r="G45" s="10" t="s">
        <v>176</v>
      </c>
      <c r="H45" s="10" t="s">
        <v>177</v>
      </c>
      <c r="I45" s="8"/>
      <c r="J45" s="8"/>
    </row>
    <row r="46" customFormat="false" ht="22.35" hidden="false" customHeight="false" outlineLevel="0" collapsed="false">
      <c r="A46" s="5" t="n">
        <v>41</v>
      </c>
      <c r="B46" s="6" t="s">
        <v>172</v>
      </c>
      <c r="C46" s="6" t="s">
        <v>173</v>
      </c>
      <c r="D46" s="6" t="s">
        <v>178</v>
      </c>
      <c r="E46" s="6" t="s">
        <v>175</v>
      </c>
      <c r="F46" s="12" t="s">
        <v>31</v>
      </c>
      <c r="G46" s="6" t="s">
        <v>179</v>
      </c>
      <c r="H46" s="6" t="s">
        <v>180</v>
      </c>
      <c r="I46" s="8"/>
      <c r="J46" s="8"/>
    </row>
    <row r="47" customFormat="false" ht="15" hidden="false" customHeight="false" outlineLevel="0" collapsed="false">
      <c r="A47" s="9" t="n">
        <v>42</v>
      </c>
      <c r="B47" s="10" t="s">
        <v>172</v>
      </c>
      <c r="C47" s="10" t="s">
        <v>173</v>
      </c>
      <c r="D47" s="10" t="s">
        <v>181</v>
      </c>
      <c r="E47" s="10" t="s">
        <v>182</v>
      </c>
      <c r="F47" s="12" t="s">
        <v>31</v>
      </c>
      <c r="G47" s="10" t="s">
        <v>183</v>
      </c>
      <c r="H47" s="10" t="s">
        <v>184</v>
      </c>
      <c r="I47" s="8"/>
      <c r="J47" s="8"/>
    </row>
    <row r="48" customFormat="false" ht="22.35" hidden="false" customHeight="false" outlineLevel="0" collapsed="false">
      <c r="A48" s="5" t="n">
        <v>43</v>
      </c>
      <c r="B48" s="6" t="s">
        <v>172</v>
      </c>
      <c r="C48" s="6" t="s">
        <v>173</v>
      </c>
      <c r="D48" s="6" t="s">
        <v>185</v>
      </c>
      <c r="E48" s="6" t="s">
        <v>175</v>
      </c>
      <c r="F48" s="11" t="s">
        <v>22</v>
      </c>
      <c r="G48" s="6" t="s">
        <v>186</v>
      </c>
      <c r="H48" s="6" t="s">
        <v>187</v>
      </c>
      <c r="I48" s="8"/>
      <c r="J48" s="8"/>
    </row>
    <row r="49" customFormat="false" ht="15" hidden="false" customHeight="false" outlineLevel="0" collapsed="false">
      <c r="A49" s="9" t="n">
        <v>44</v>
      </c>
      <c r="B49" s="10" t="s">
        <v>172</v>
      </c>
      <c r="C49" s="10" t="s">
        <v>188</v>
      </c>
      <c r="D49" s="10" t="s">
        <v>189</v>
      </c>
      <c r="E49" s="10" t="s">
        <v>190</v>
      </c>
      <c r="F49" s="11" t="s">
        <v>22</v>
      </c>
      <c r="G49" s="10" t="s">
        <v>191</v>
      </c>
      <c r="H49" s="10" t="s">
        <v>192</v>
      </c>
      <c r="I49" s="8"/>
      <c r="J49" s="8"/>
    </row>
    <row r="50" customFormat="false" ht="22.35" hidden="false" customHeight="false" outlineLevel="0" collapsed="false">
      <c r="A50" s="5" t="n">
        <v>45</v>
      </c>
      <c r="B50" s="6" t="s">
        <v>193</v>
      </c>
      <c r="C50" s="6" t="s">
        <v>194</v>
      </c>
      <c r="D50" s="6" t="s">
        <v>195</v>
      </c>
      <c r="E50" s="6" t="s">
        <v>196</v>
      </c>
      <c r="F50" s="11" t="s">
        <v>22</v>
      </c>
      <c r="G50" s="6" t="s">
        <v>197</v>
      </c>
      <c r="H50" s="6" t="s">
        <v>198</v>
      </c>
      <c r="I50" s="8"/>
      <c r="J50" s="8"/>
    </row>
    <row r="51" customFormat="false" ht="22.35" hidden="false" customHeight="false" outlineLevel="0" collapsed="false">
      <c r="A51" s="9" t="n">
        <v>46</v>
      </c>
      <c r="B51" s="10" t="s">
        <v>193</v>
      </c>
      <c r="C51" s="10" t="s">
        <v>199</v>
      </c>
      <c r="D51" s="10" t="s">
        <v>200</v>
      </c>
      <c r="E51" s="10" t="s">
        <v>201</v>
      </c>
      <c r="F51" s="7" t="s">
        <v>17</v>
      </c>
      <c r="G51" s="10" t="s">
        <v>202</v>
      </c>
      <c r="H51" s="10" t="s">
        <v>203</v>
      </c>
      <c r="I51" s="8"/>
      <c r="J51" s="8"/>
    </row>
    <row r="52" customFormat="false" ht="15" hidden="false" customHeight="false" outlineLevel="0" collapsed="false">
      <c r="A52" s="5" t="n">
        <v>47</v>
      </c>
      <c r="B52" s="6" t="s">
        <v>193</v>
      </c>
      <c r="C52" s="6" t="s">
        <v>199</v>
      </c>
      <c r="D52" s="6" t="s">
        <v>204</v>
      </c>
      <c r="E52" s="6" t="s">
        <v>205</v>
      </c>
      <c r="F52" s="11" t="s">
        <v>22</v>
      </c>
      <c r="G52" s="6" t="s">
        <v>206</v>
      </c>
      <c r="H52" s="6" t="s">
        <v>207</v>
      </c>
      <c r="I52" s="8"/>
      <c r="J52" s="8"/>
    </row>
    <row r="53" customFormat="false" ht="22.35" hidden="false" customHeight="false" outlineLevel="0" collapsed="false">
      <c r="A53" s="9" t="n">
        <v>48</v>
      </c>
      <c r="B53" s="10" t="s">
        <v>208</v>
      </c>
      <c r="C53" s="10" t="s">
        <v>209</v>
      </c>
      <c r="D53" s="10" t="s">
        <v>210</v>
      </c>
      <c r="E53" s="10" t="s">
        <v>211</v>
      </c>
      <c r="F53" s="11" t="s">
        <v>22</v>
      </c>
      <c r="G53" s="10" t="s">
        <v>212</v>
      </c>
      <c r="H53" s="10" t="s">
        <v>213</v>
      </c>
      <c r="I53" s="8"/>
      <c r="J53" s="8"/>
    </row>
    <row r="54" customFormat="false" ht="22.35" hidden="false" customHeight="false" outlineLevel="0" collapsed="false">
      <c r="A54" s="5" t="n">
        <v>49</v>
      </c>
      <c r="B54" s="6" t="s">
        <v>208</v>
      </c>
      <c r="C54" s="6" t="s">
        <v>214</v>
      </c>
      <c r="D54" s="6" t="s">
        <v>215</v>
      </c>
      <c r="E54" s="6" t="s">
        <v>216</v>
      </c>
      <c r="F54" s="11" t="s">
        <v>22</v>
      </c>
      <c r="G54" s="6" t="s">
        <v>217</v>
      </c>
      <c r="H54" s="6" t="s">
        <v>218</v>
      </c>
      <c r="I54" s="8"/>
      <c r="J54" s="8"/>
    </row>
    <row r="55" customFormat="false" ht="22.35" hidden="false" customHeight="false" outlineLevel="0" collapsed="false">
      <c r="A55" s="9" t="n">
        <v>50</v>
      </c>
      <c r="B55" s="10" t="s">
        <v>208</v>
      </c>
      <c r="C55" s="10" t="s">
        <v>214</v>
      </c>
      <c r="D55" s="10" t="s">
        <v>219</v>
      </c>
      <c r="E55" s="10" t="s">
        <v>220</v>
      </c>
      <c r="F55" s="11" t="s">
        <v>22</v>
      </c>
      <c r="G55" s="10" t="s">
        <v>221</v>
      </c>
      <c r="H55" s="10" t="s">
        <v>222</v>
      </c>
      <c r="I55" s="8"/>
      <c r="J55" s="8"/>
    </row>
    <row r="56" customFormat="false" ht="22.35" hidden="false" customHeight="false" outlineLevel="0" collapsed="false">
      <c r="A56" s="5" t="n">
        <v>51</v>
      </c>
      <c r="B56" s="6" t="s">
        <v>208</v>
      </c>
      <c r="C56" s="6" t="s">
        <v>223</v>
      </c>
      <c r="D56" s="6" t="s">
        <v>224</v>
      </c>
      <c r="E56" s="6" t="s">
        <v>225</v>
      </c>
      <c r="F56" s="11" t="s">
        <v>22</v>
      </c>
      <c r="G56" s="6" t="s">
        <v>226</v>
      </c>
      <c r="H56" s="6" t="s">
        <v>227</v>
      </c>
      <c r="I56" s="8"/>
      <c r="J56" s="8"/>
    </row>
    <row r="57" customFormat="false" ht="22.35" hidden="false" customHeight="false" outlineLevel="0" collapsed="false">
      <c r="A57" s="9" t="n">
        <v>52</v>
      </c>
      <c r="B57" s="10" t="s">
        <v>208</v>
      </c>
      <c r="C57" s="10" t="s">
        <v>223</v>
      </c>
      <c r="D57" s="10" t="s">
        <v>228</v>
      </c>
      <c r="E57" s="10" t="s">
        <v>229</v>
      </c>
      <c r="F57" s="11" t="s">
        <v>22</v>
      </c>
      <c r="G57" s="10" t="s">
        <v>230</v>
      </c>
      <c r="H57" s="10" t="s">
        <v>231</v>
      </c>
      <c r="I57" s="8"/>
      <c r="J57" s="8"/>
    </row>
    <row r="58" customFormat="false" ht="22.35" hidden="false" customHeight="false" outlineLevel="0" collapsed="false">
      <c r="A58" s="5" t="n">
        <v>53</v>
      </c>
      <c r="B58" s="6" t="s">
        <v>208</v>
      </c>
      <c r="C58" s="6" t="s">
        <v>223</v>
      </c>
      <c r="D58" s="6" t="s">
        <v>232</v>
      </c>
      <c r="E58" s="6" t="s">
        <v>229</v>
      </c>
      <c r="F58" s="11" t="s">
        <v>22</v>
      </c>
      <c r="G58" s="6" t="s">
        <v>233</v>
      </c>
      <c r="H58" s="6" t="s">
        <v>234</v>
      </c>
      <c r="I58" s="8"/>
      <c r="J58" s="8"/>
    </row>
    <row r="59" customFormat="false" ht="22.35" hidden="false" customHeight="false" outlineLevel="0" collapsed="false">
      <c r="A59" s="9" t="n">
        <v>54</v>
      </c>
      <c r="B59" s="10" t="s">
        <v>208</v>
      </c>
      <c r="C59" s="10" t="s">
        <v>235</v>
      </c>
      <c r="D59" s="10" t="s">
        <v>236</v>
      </c>
      <c r="E59" s="10" t="s">
        <v>211</v>
      </c>
      <c r="F59" s="7" t="s">
        <v>17</v>
      </c>
      <c r="G59" s="10" t="s">
        <v>237</v>
      </c>
      <c r="H59" s="10" t="s">
        <v>238</v>
      </c>
      <c r="I59" s="8"/>
      <c r="J59" s="8"/>
    </row>
    <row r="60" customFormat="false" ht="15" hidden="false" customHeight="false" outlineLevel="0" collapsed="false">
      <c r="A60" s="5" t="n">
        <v>55</v>
      </c>
      <c r="B60" s="6" t="s">
        <v>208</v>
      </c>
      <c r="C60" s="6" t="s">
        <v>235</v>
      </c>
      <c r="D60" s="6" t="s">
        <v>239</v>
      </c>
      <c r="E60" s="6" t="s">
        <v>240</v>
      </c>
      <c r="F60" s="7" t="s">
        <v>17</v>
      </c>
      <c r="G60" s="6" t="s">
        <v>241</v>
      </c>
      <c r="H60" s="6" t="s">
        <v>242</v>
      </c>
      <c r="I60" s="8"/>
      <c r="J60" s="8"/>
    </row>
    <row r="61" customFormat="false" ht="22.35" hidden="false" customHeight="false" outlineLevel="0" collapsed="false">
      <c r="A61" s="9" t="n">
        <v>56</v>
      </c>
      <c r="B61" s="10" t="s">
        <v>208</v>
      </c>
      <c r="C61" s="10" t="s">
        <v>105</v>
      </c>
      <c r="D61" s="10" t="s">
        <v>243</v>
      </c>
      <c r="E61" s="10" t="s">
        <v>21</v>
      </c>
      <c r="F61" s="7" t="s">
        <v>17</v>
      </c>
      <c r="G61" s="10" t="s">
        <v>244</v>
      </c>
      <c r="H61" s="10" t="s">
        <v>245</v>
      </c>
      <c r="I61" s="8"/>
      <c r="J61" s="8"/>
    </row>
    <row r="62" customFormat="false" ht="22.35" hidden="false" customHeight="false" outlineLevel="0" collapsed="false">
      <c r="A62" s="5" t="n">
        <v>57</v>
      </c>
      <c r="B62" s="6" t="s">
        <v>246</v>
      </c>
      <c r="C62" s="6" t="s">
        <v>247</v>
      </c>
      <c r="D62" s="6" t="s">
        <v>248</v>
      </c>
      <c r="E62" s="6" t="s">
        <v>249</v>
      </c>
      <c r="F62" s="11" t="s">
        <v>22</v>
      </c>
      <c r="G62" s="6" t="s">
        <v>250</v>
      </c>
      <c r="H62" s="6" t="s">
        <v>251</v>
      </c>
      <c r="I62" s="8"/>
      <c r="J62" s="8"/>
    </row>
    <row r="63" customFormat="false" ht="22.35" hidden="false" customHeight="false" outlineLevel="0" collapsed="false">
      <c r="A63" s="9" t="n">
        <v>58</v>
      </c>
      <c r="B63" s="10" t="s">
        <v>246</v>
      </c>
      <c r="C63" s="10" t="s">
        <v>247</v>
      </c>
      <c r="D63" s="10" t="s">
        <v>252</v>
      </c>
      <c r="E63" s="10" t="s">
        <v>253</v>
      </c>
      <c r="F63" s="11" t="s">
        <v>22</v>
      </c>
      <c r="G63" s="10" t="s">
        <v>254</v>
      </c>
      <c r="H63" s="10" t="s">
        <v>255</v>
      </c>
      <c r="I63" s="8"/>
      <c r="J63" s="8"/>
    </row>
    <row r="64" customFormat="false" ht="15" hidden="false" customHeight="false" outlineLevel="0" collapsed="false">
      <c r="A64" s="5" t="n">
        <v>59</v>
      </c>
      <c r="B64" s="6" t="s">
        <v>246</v>
      </c>
      <c r="C64" s="6" t="s">
        <v>247</v>
      </c>
      <c r="D64" s="6" t="s">
        <v>256</v>
      </c>
      <c r="E64" s="6" t="s">
        <v>21</v>
      </c>
      <c r="F64" s="11" t="s">
        <v>22</v>
      </c>
      <c r="G64" s="6" t="s">
        <v>257</v>
      </c>
      <c r="H64" s="6" t="s">
        <v>258</v>
      </c>
      <c r="I64" s="8"/>
      <c r="J64" s="8"/>
    </row>
    <row r="65" customFormat="false" ht="22.35" hidden="false" customHeight="false" outlineLevel="0" collapsed="false">
      <c r="A65" s="9" t="n">
        <v>60</v>
      </c>
      <c r="B65" s="10" t="s">
        <v>246</v>
      </c>
      <c r="C65" s="10" t="s">
        <v>247</v>
      </c>
      <c r="D65" s="10" t="s">
        <v>259</v>
      </c>
      <c r="E65" s="10" t="s">
        <v>260</v>
      </c>
      <c r="F65" s="11" t="s">
        <v>22</v>
      </c>
      <c r="G65" s="10" t="s">
        <v>261</v>
      </c>
      <c r="H65" s="10" t="s">
        <v>262</v>
      </c>
      <c r="I65" s="8"/>
      <c r="J65" s="8"/>
    </row>
    <row r="66" customFormat="false" ht="15" hidden="false" customHeight="false" outlineLevel="0" collapsed="false">
      <c r="A66" s="5" t="n">
        <v>61</v>
      </c>
      <c r="B66" s="6" t="s">
        <v>246</v>
      </c>
      <c r="C66" s="6" t="s">
        <v>247</v>
      </c>
      <c r="D66" s="6" t="s">
        <v>263</v>
      </c>
      <c r="E66" s="6" t="s">
        <v>264</v>
      </c>
      <c r="F66" s="11" t="s">
        <v>22</v>
      </c>
      <c r="G66" s="6" t="s">
        <v>265</v>
      </c>
      <c r="H66" s="6" t="s">
        <v>266</v>
      </c>
      <c r="I66" s="8"/>
      <c r="J66" s="8"/>
    </row>
    <row r="67" customFormat="false" ht="15" hidden="false" customHeight="false" outlineLevel="0" collapsed="false">
      <c r="A67" s="9" t="n">
        <v>62</v>
      </c>
      <c r="B67" s="10" t="s">
        <v>246</v>
      </c>
      <c r="C67" s="10" t="s">
        <v>247</v>
      </c>
      <c r="D67" s="10" t="s">
        <v>267</v>
      </c>
      <c r="E67" s="10" t="s">
        <v>264</v>
      </c>
      <c r="F67" s="11" t="s">
        <v>22</v>
      </c>
      <c r="G67" s="10" t="s">
        <v>265</v>
      </c>
      <c r="H67" s="10" t="s">
        <v>266</v>
      </c>
      <c r="I67" s="8"/>
      <c r="J67" s="8"/>
    </row>
    <row r="68" customFormat="false" ht="22.35" hidden="false" customHeight="false" outlineLevel="0" collapsed="false">
      <c r="A68" s="5" t="n">
        <v>63</v>
      </c>
      <c r="B68" s="6" t="s">
        <v>246</v>
      </c>
      <c r="C68" s="6" t="s">
        <v>247</v>
      </c>
      <c r="D68" s="6" t="s">
        <v>268</v>
      </c>
      <c r="E68" s="6" t="s">
        <v>269</v>
      </c>
      <c r="F68" s="11" t="s">
        <v>22</v>
      </c>
      <c r="G68" s="6" t="s">
        <v>270</v>
      </c>
      <c r="H68" s="6" t="s">
        <v>271</v>
      </c>
      <c r="I68" s="8"/>
      <c r="J68" s="8"/>
    </row>
    <row r="69" customFormat="false" ht="15" hidden="false" customHeight="false" outlineLevel="0" collapsed="false">
      <c r="A69" s="9" t="n">
        <v>64</v>
      </c>
      <c r="B69" s="10" t="s">
        <v>246</v>
      </c>
      <c r="C69" s="10" t="s">
        <v>247</v>
      </c>
      <c r="D69" s="10" t="s">
        <v>272</v>
      </c>
      <c r="E69" s="10" t="s">
        <v>273</v>
      </c>
      <c r="F69" s="11" t="s">
        <v>22</v>
      </c>
      <c r="G69" s="10" t="s">
        <v>274</v>
      </c>
      <c r="H69" s="10" t="s">
        <v>275</v>
      </c>
      <c r="I69" s="8"/>
      <c r="J69" s="8"/>
    </row>
    <row r="70" customFormat="false" ht="15" hidden="false" customHeight="false" outlineLevel="0" collapsed="false">
      <c r="A70" s="5" t="n">
        <v>65</v>
      </c>
      <c r="B70" s="6" t="s">
        <v>246</v>
      </c>
      <c r="C70" s="6" t="s">
        <v>247</v>
      </c>
      <c r="D70" s="6" t="s">
        <v>276</v>
      </c>
      <c r="E70" s="6" t="s">
        <v>277</v>
      </c>
      <c r="F70" s="11" t="s">
        <v>22</v>
      </c>
      <c r="G70" s="6" t="s">
        <v>278</v>
      </c>
      <c r="H70" s="6" t="s">
        <v>279</v>
      </c>
      <c r="I70" s="8"/>
      <c r="J70" s="8"/>
    </row>
    <row r="71" customFormat="false" ht="15" hidden="false" customHeight="false" outlineLevel="0" collapsed="false">
      <c r="A71" s="9" t="n">
        <v>66</v>
      </c>
      <c r="B71" s="10" t="s">
        <v>246</v>
      </c>
      <c r="C71" s="10" t="s">
        <v>247</v>
      </c>
      <c r="D71" s="10" t="s">
        <v>280</v>
      </c>
      <c r="E71" s="10" t="s">
        <v>281</v>
      </c>
      <c r="F71" s="12" t="s">
        <v>31</v>
      </c>
      <c r="G71" s="10" t="s">
        <v>282</v>
      </c>
      <c r="H71" s="10" t="s">
        <v>283</v>
      </c>
      <c r="I71" s="8"/>
      <c r="J71" s="8"/>
    </row>
    <row r="72" customFormat="false" ht="15" hidden="false" customHeight="false" outlineLevel="0" collapsed="false">
      <c r="A72" s="5" t="n">
        <v>67</v>
      </c>
      <c r="B72" s="6" t="s">
        <v>246</v>
      </c>
      <c r="C72" s="6" t="s">
        <v>247</v>
      </c>
      <c r="D72" s="6" t="s">
        <v>284</v>
      </c>
      <c r="E72" s="6" t="s">
        <v>281</v>
      </c>
      <c r="F72" s="12" t="s">
        <v>31</v>
      </c>
      <c r="G72" s="6" t="s">
        <v>282</v>
      </c>
      <c r="H72" s="6" t="s">
        <v>285</v>
      </c>
      <c r="I72" s="8"/>
      <c r="J72" s="8"/>
    </row>
    <row r="73" customFormat="false" ht="22.35" hidden="false" customHeight="false" outlineLevel="0" collapsed="false">
      <c r="A73" s="9" t="n">
        <v>68</v>
      </c>
      <c r="B73" s="10" t="s">
        <v>246</v>
      </c>
      <c r="C73" s="10" t="s">
        <v>286</v>
      </c>
      <c r="D73" s="10" t="s">
        <v>287</v>
      </c>
      <c r="E73" s="10" t="s">
        <v>288</v>
      </c>
      <c r="F73" s="12" t="s">
        <v>31</v>
      </c>
      <c r="G73" s="10" t="s">
        <v>289</v>
      </c>
      <c r="H73" s="10" t="s">
        <v>290</v>
      </c>
      <c r="I73" s="8"/>
      <c r="J73" s="8"/>
    </row>
    <row r="74" customFormat="false" ht="15" hidden="false" customHeight="false" outlineLevel="0" collapsed="false">
      <c r="A74" s="5" t="n">
        <v>69</v>
      </c>
      <c r="B74" s="6" t="s">
        <v>246</v>
      </c>
      <c r="C74" s="6" t="s">
        <v>291</v>
      </c>
      <c r="D74" s="6" t="s">
        <v>292</v>
      </c>
      <c r="E74" s="6" t="s">
        <v>293</v>
      </c>
      <c r="F74" s="11" t="s">
        <v>22</v>
      </c>
      <c r="G74" s="6" t="s">
        <v>294</v>
      </c>
      <c r="H74" s="6" t="s">
        <v>295</v>
      </c>
      <c r="I74" s="8"/>
      <c r="J74" s="8"/>
    </row>
    <row r="75" customFormat="false" ht="15" hidden="false" customHeight="false" outlineLevel="0" collapsed="false">
      <c r="A75" s="9" t="n">
        <v>70</v>
      </c>
      <c r="B75" s="10" t="s">
        <v>246</v>
      </c>
      <c r="C75" s="10" t="s">
        <v>291</v>
      </c>
      <c r="D75" s="10" t="s">
        <v>296</v>
      </c>
      <c r="E75" s="10" t="s">
        <v>297</v>
      </c>
      <c r="F75" s="11" t="s">
        <v>22</v>
      </c>
      <c r="G75" s="10" t="s">
        <v>298</v>
      </c>
      <c r="H75" s="10" t="s">
        <v>299</v>
      </c>
      <c r="I75" s="8"/>
      <c r="J75" s="8"/>
    </row>
    <row r="76" customFormat="false" ht="15" hidden="false" customHeight="false" outlineLevel="0" collapsed="false">
      <c r="A76" s="5" t="n">
        <v>71</v>
      </c>
      <c r="B76" s="6" t="s">
        <v>246</v>
      </c>
      <c r="C76" s="6" t="s">
        <v>291</v>
      </c>
      <c r="D76" s="6" t="s">
        <v>300</v>
      </c>
      <c r="E76" s="6" t="s">
        <v>301</v>
      </c>
      <c r="F76" s="11" t="s">
        <v>22</v>
      </c>
      <c r="G76" s="6" t="s">
        <v>302</v>
      </c>
      <c r="H76" s="6" t="s">
        <v>303</v>
      </c>
      <c r="I76" s="8"/>
      <c r="J76" s="8"/>
    </row>
    <row r="77" customFormat="false" ht="15" hidden="false" customHeight="false" outlineLevel="0" collapsed="false">
      <c r="A77" s="9" t="n">
        <v>72</v>
      </c>
      <c r="B77" s="10" t="s">
        <v>246</v>
      </c>
      <c r="C77" s="10" t="s">
        <v>291</v>
      </c>
      <c r="D77" s="10" t="s">
        <v>304</v>
      </c>
      <c r="E77" s="10" t="s">
        <v>301</v>
      </c>
      <c r="F77" s="12" t="s">
        <v>31</v>
      </c>
      <c r="G77" s="10" t="s">
        <v>305</v>
      </c>
      <c r="H77" s="10" t="s">
        <v>306</v>
      </c>
      <c r="I77" s="8"/>
      <c r="J77" s="8"/>
    </row>
    <row r="78" customFormat="false" ht="22.35" hidden="false" customHeight="false" outlineLevel="0" collapsed="false">
      <c r="A78" s="5" t="n">
        <v>73</v>
      </c>
      <c r="B78" s="6" t="s">
        <v>246</v>
      </c>
      <c r="C78" s="6" t="s">
        <v>291</v>
      </c>
      <c r="D78" s="6" t="s">
        <v>307</v>
      </c>
      <c r="E78" s="6" t="s">
        <v>301</v>
      </c>
      <c r="F78" s="11" t="s">
        <v>22</v>
      </c>
      <c r="G78" s="6" t="s">
        <v>308</v>
      </c>
      <c r="H78" s="6" t="s">
        <v>309</v>
      </c>
      <c r="I78" s="8"/>
      <c r="J78" s="8"/>
    </row>
    <row r="79" customFormat="false" ht="22.35" hidden="false" customHeight="false" outlineLevel="0" collapsed="false">
      <c r="A79" s="9" t="n">
        <v>74</v>
      </c>
      <c r="B79" s="10" t="s">
        <v>246</v>
      </c>
      <c r="C79" s="10" t="s">
        <v>291</v>
      </c>
      <c r="D79" s="10" t="s">
        <v>310</v>
      </c>
      <c r="E79" s="10" t="s">
        <v>21</v>
      </c>
      <c r="F79" s="11" t="s">
        <v>22</v>
      </c>
      <c r="G79" s="10" t="s">
        <v>311</v>
      </c>
      <c r="H79" s="10" t="s">
        <v>312</v>
      </c>
      <c r="I79" s="8"/>
      <c r="J79" s="8"/>
    </row>
    <row r="80" customFormat="false" ht="22.35" hidden="false" customHeight="false" outlineLevel="0" collapsed="false">
      <c r="A80" s="5" t="n">
        <v>75</v>
      </c>
      <c r="B80" s="6" t="s">
        <v>246</v>
      </c>
      <c r="C80" s="6" t="s">
        <v>313</v>
      </c>
      <c r="D80" s="6" t="s">
        <v>314</v>
      </c>
      <c r="E80" s="6" t="s">
        <v>315</v>
      </c>
      <c r="F80" s="11" t="s">
        <v>22</v>
      </c>
      <c r="G80" s="6" t="s">
        <v>316</v>
      </c>
      <c r="H80" s="6" t="s">
        <v>317</v>
      </c>
      <c r="I80" s="8"/>
      <c r="J80" s="8"/>
    </row>
    <row r="81" customFormat="false" ht="22.35" hidden="false" customHeight="false" outlineLevel="0" collapsed="false">
      <c r="A81" s="9" t="n">
        <v>76</v>
      </c>
      <c r="B81" s="10" t="s">
        <v>246</v>
      </c>
      <c r="C81" s="10" t="s">
        <v>313</v>
      </c>
      <c r="D81" s="10" t="s">
        <v>318</v>
      </c>
      <c r="E81" s="10" t="s">
        <v>319</v>
      </c>
      <c r="F81" s="12" t="s">
        <v>31</v>
      </c>
      <c r="G81" s="10" t="s">
        <v>320</v>
      </c>
      <c r="H81" s="10" t="s">
        <v>321</v>
      </c>
      <c r="I81" s="8"/>
      <c r="J81" s="8"/>
    </row>
    <row r="82" customFormat="false" ht="15" hidden="false" customHeight="false" outlineLevel="0" collapsed="false">
      <c r="A82" s="5" t="n">
        <v>77</v>
      </c>
      <c r="B82" s="6" t="s">
        <v>246</v>
      </c>
      <c r="C82" s="6" t="s">
        <v>313</v>
      </c>
      <c r="D82" s="6" t="s">
        <v>322</v>
      </c>
      <c r="E82" s="6" t="s">
        <v>315</v>
      </c>
      <c r="F82" s="11" t="s">
        <v>22</v>
      </c>
      <c r="G82" s="6" t="s">
        <v>323</v>
      </c>
      <c r="H82" s="6" t="s">
        <v>324</v>
      </c>
      <c r="I82" s="8"/>
      <c r="J82" s="8"/>
    </row>
    <row r="83" customFormat="false" ht="22.35" hidden="false" customHeight="false" outlineLevel="0" collapsed="false">
      <c r="A83" s="9" t="n">
        <v>78</v>
      </c>
      <c r="B83" s="10" t="s">
        <v>246</v>
      </c>
      <c r="C83" s="10" t="s">
        <v>313</v>
      </c>
      <c r="D83" s="10" t="s">
        <v>325</v>
      </c>
      <c r="E83" s="10" t="s">
        <v>315</v>
      </c>
      <c r="F83" s="12" t="s">
        <v>31</v>
      </c>
      <c r="G83" s="10" t="s">
        <v>326</v>
      </c>
      <c r="H83" s="10" t="s">
        <v>327</v>
      </c>
      <c r="I83" s="8"/>
      <c r="J83" s="8"/>
    </row>
    <row r="84" customFormat="false" ht="22.35" hidden="false" customHeight="false" outlineLevel="0" collapsed="false">
      <c r="A84" s="5" t="n">
        <v>79</v>
      </c>
      <c r="B84" s="6" t="s">
        <v>246</v>
      </c>
      <c r="C84" s="6" t="s">
        <v>313</v>
      </c>
      <c r="D84" s="6" t="s">
        <v>328</v>
      </c>
      <c r="E84" s="6" t="s">
        <v>297</v>
      </c>
      <c r="F84" s="12" t="s">
        <v>31</v>
      </c>
      <c r="G84" s="6" t="s">
        <v>329</v>
      </c>
      <c r="H84" s="6" t="s">
        <v>330</v>
      </c>
      <c r="I84" s="8"/>
      <c r="J84" s="8"/>
    </row>
    <row r="85" customFormat="false" ht="15" hidden="false" customHeight="false" outlineLevel="0" collapsed="false">
      <c r="A85" s="9" t="n">
        <v>80</v>
      </c>
      <c r="B85" s="10" t="s">
        <v>246</v>
      </c>
      <c r="C85" s="10" t="s">
        <v>313</v>
      </c>
      <c r="D85" s="10" t="s">
        <v>331</v>
      </c>
      <c r="E85" s="10" t="s">
        <v>315</v>
      </c>
      <c r="F85" s="11" t="s">
        <v>22</v>
      </c>
      <c r="G85" s="10" t="s">
        <v>332</v>
      </c>
      <c r="H85" s="10" t="s">
        <v>333</v>
      </c>
      <c r="I85" s="8"/>
      <c r="J85" s="8"/>
    </row>
    <row r="86" customFormat="false" ht="15" hidden="false" customHeight="false" outlineLevel="0" collapsed="false">
      <c r="A86" s="5" t="n">
        <v>81</v>
      </c>
      <c r="B86" s="6" t="s">
        <v>246</v>
      </c>
      <c r="C86" s="6" t="s">
        <v>334</v>
      </c>
      <c r="D86" s="6" t="s">
        <v>335</v>
      </c>
      <c r="E86" s="6" t="s">
        <v>336</v>
      </c>
      <c r="F86" s="11" t="s">
        <v>22</v>
      </c>
      <c r="G86" s="6" t="s">
        <v>337</v>
      </c>
      <c r="H86" s="6" t="s">
        <v>338</v>
      </c>
      <c r="I86" s="8"/>
      <c r="J86" s="8"/>
    </row>
    <row r="87" customFormat="false" ht="22.35" hidden="false" customHeight="false" outlineLevel="0" collapsed="false">
      <c r="A87" s="9" t="n">
        <v>82</v>
      </c>
      <c r="B87" s="10" t="s">
        <v>246</v>
      </c>
      <c r="C87" s="10" t="s">
        <v>334</v>
      </c>
      <c r="D87" s="10" t="s">
        <v>339</v>
      </c>
      <c r="E87" s="10" t="s">
        <v>340</v>
      </c>
      <c r="F87" s="11" t="s">
        <v>22</v>
      </c>
      <c r="G87" s="10" t="s">
        <v>341</v>
      </c>
      <c r="H87" s="10" t="s">
        <v>317</v>
      </c>
      <c r="I87" s="8"/>
      <c r="J87" s="8"/>
    </row>
    <row r="88" customFormat="false" ht="22.35" hidden="false" customHeight="false" outlineLevel="0" collapsed="false">
      <c r="A88" s="5" t="n">
        <v>83</v>
      </c>
      <c r="B88" s="6" t="s">
        <v>246</v>
      </c>
      <c r="C88" s="6" t="s">
        <v>334</v>
      </c>
      <c r="D88" s="6" t="s">
        <v>342</v>
      </c>
      <c r="E88" s="6" t="s">
        <v>343</v>
      </c>
      <c r="F88" s="12" t="s">
        <v>31</v>
      </c>
      <c r="G88" s="6" t="s">
        <v>344</v>
      </c>
      <c r="H88" s="6" t="s">
        <v>345</v>
      </c>
      <c r="I88" s="8"/>
      <c r="J88" s="8"/>
    </row>
    <row r="89" customFormat="false" ht="22.35" hidden="false" customHeight="false" outlineLevel="0" collapsed="false">
      <c r="A89" s="9" t="n">
        <v>84</v>
      </c>
      <c r="B89" s="10" t="s">
        <v>246</v>
      </c>
      <c r="C89" s="10" t="s">
        <v>334</v>
      </c>
      <c r="D89" s="10" t="s">
        <v>346</v>
      </c>
      <c r="E89" s="10" t="s">
        <v>83</v>
      </c>
      <c r="F89" s="12" t="s">
        <v>31</v>
      </c>
      <c r="G89" s="10" t="s">
        <v>347</v>
      </c>
      <c r="H89" s="10" t="s">
        <v>348</v>
      </c>
      <c r="I89" s="8"/>
      <c r="J89" s="8"/>
    </row>
    <row r="90" customFormat="false" ht="22.35" hidden="false" customHeight="false" outlineLevel="0" collapsed="false">
      <c r="A90" s="5" t="n">
        <v>85</v>
      </c>
      <c r="B90" s="6" t="s">
        <v>246</v>
      </c>
      <c r="C90" s="6" t="s">
        <v>334</v>
      </c>
      <c r="D90" s="6" t="s">
        <v>349</v>
      </c>
      <c r="E90" s="6" t="s">
        <v>127</v>
      </c>
      <c r="F90" s="11" t="s">
        <v>22</v>
      </c>
      <c r="G90" s="6" t="s">
        <v>350</v>
      </c>
      <c r="H90" s="6" t="s">
        <v>351</v>
      </c>
      <c r="I90" s="8"/>
      <c r="J90" s="8"/>
    </row>
    <row r="91" customFormat="false" ht="15" hidden="false" customHeight="false" outlineLevel="0" collapsed="false">
      <c r="A91" s="9" t="n">
        <v>86</v>
      </c>
      <c r="B91" s="10" t="s">
        <v>246</v>
      </c>
      <c r="C91" s="10" t="s">
        <v>334</v>
      </c>
      <c r="D91" s="10" t="s">
        <v>352</v>
      </c>
      <c r="E91" s="10" t="s">
        <v>340</v>
      </c>
      <c r="F91" s="7" t="s">
        <v>17</v>
      </c>
      <c r="G91" s="10" t="s">
        <v>353</v>
      </c>
      <c r="H91" s="10" t="s">
        <v>354</v>
      </c>
      <c r="I91" s="8"/>
      <c r="J91" s="8"/>
    </row>
    <row r="92" customFormat="false" ht="15" hidden="false" customHeight="false" outlineLevel="0" collapsed="false">
      <c r="A92" s="5" t="n">
        <v>87</v>
      </c>
      <c r="B92" s="6" t="s">
        <v>246</v>
      </c>
      <c r="C92" s="6" t="s">
        <v>334</v>
      </c>
      <c r="D92" s="6" t="s">
        <v>355</v>
      </c>
      <c r="E92" s="6" t="s">
        <v>356</v>
      </c>
      <c r="F92" s="11" t="s">
        <v>22</v>
      </c>
      <c r="G92" s="6" t="s">
        <v>357</v>
      </c>
      <c r="H92" s="6" t="s">
        <v>358</v>
      </c>
      <c r="I92" s="8"/>
      <c r="J92" s="8"/>
    </row>
    <row r="93" customFormat="false" ht="15" hidden="false" customHeight="false" outlineLevel="0" collapsed="false">
      <c r="A93" s="9" t="n">
        <v>88</v>
      </c>
      <c r="B93" s="10" t="s">
        <v>246</v>
      </c>
      <c r="C93" s="10" t="s">
        <v>334</v>
      </c>
      <c r="D93" s="10" t="s">
        <v>359</v>
      </c>
      <c r="E93" s="10" t="s">
        <v>356</v>
      </c>
      <c r="F93" s="7" t="s">
        <v>17</v>
      </c>
      <c r="G93" s="10" t="s">
        <v>360</v>
      </c>
      <c r="H93" s="10" t="s">
        <v>361</v>
      </c>
      <c r="I93" s="8"/>
      <c r="J93" s="8"/>
    </row>
    <row r="94" customFormat="false" ht="22.35" hidden="false" customHeight="false" outlineLevel="0" collapsed="false">
      <c r="A94" s="5" t="n">
        <v>89</v>
      </c>
      <c r="B94" s="6" t="s">
        <v>246</v>
      </c>
      <c r="C94" s="6" t="s">
        <v>362</v>
      </c>
      <c r="D94" s="6" t="s">
        <v>363</v>
      </c>
      <c r="E94" s="6" t="s">
        <v>83</v>
      </c>
      <c r="F94" s="11" t="s">
        <v>22</v>
      </c>
      <c r="G94" s="6" t="s">
        <v>364</v>
      </c>
      <c r="H94" s="6" t="s">
        <v>365</v>
      </c>
      <c r="I94" s="8"/>
      <c r="J94" s="8"/>
    </row>
    <row r="95" customFormat="false" ht="22.35" hidden="false" customHeight="false" outlineLevel="0" collapsed="false">
      <c r="A95" s="9" t="n">
        <v>90</v>
      </c>
      <c r="B95" s="10" t="s">
        <v>246</v>
      </c>
      <c r="C95" s="10" t="s">
        <v>362</v>
      </c>
      <c r="D95" s="10" t="s">
        <v>366</v>
      </c>
      <c r="E95" s="10" t="s">
        <v>367</v>
      </c>
      <c r="F95" s="7" t="s">
        <v>17</v>
      </c>
      <c r="G95" s="10" t="s">
        <v>368</v>
      </c>
      <c r="H95" s="10" t="s">
        <v>369</v>
      </c>
      <c r="I95" s="8"/>
      <c r="J95" s="8"/>
    </row>
    <row r="96" customFormat="false" ht="15" hidden="false" customHeight="false" outlineLevel="0" collapsed="false">
      <c r="A96" s="5" t="n">
        <v>91</v>
      </c>
      <c r="B96" s="6" t="s">
        <v>246</v>
      </c>
      <c r="C96" s="6" t="s">
        <v>370</v>
      </c>
      <c r="D96" s="6" t="s">
        <v>371</v>
      </c>
      <c r="E96" s="6" t="s">
        <v>372</v>
      </c>
      <c r="F96" s="12" t="s">
        <v>31</v>
      </c>
      <c r="G96" s="6" t="s">
        <v>373</v>
      </c>
      <c r="H96" s="6" t="s">
        <v>374</v>
      </c>
      <c r="I96" s="8"/>
      <c r="J96" s="8"/>
    </row>
    <row r="97" customFormat="false" ht="15" hidden="false" customHeight="false" outlineLevel="0" collapsed="false">
      <c r="A97" s="9" t="n">
        <v>92</v>
      </c>
      <c r="B97" s="10" t="s">
        <v>246</v>
      </c>
      <c r="C97" s="10" t="s">
        <v>370</v>
      </c>
      <c r="D97" s="10" t="s">
        <v>375</v>
      </c>
      <c r="E97" s="10" t="s">
        <v>376</v>
      </c>
      <c r="F97" s="11" t="s">
        <v>22</v>
      </c>
      <c r="G97" s="10" t="s">
        <v>377</v>
      </c>
      <c r="H97" s="10" t="s">
        <v>378</v>
      </c>
      <c r="I97" s="8"/>
      <c r="J97" s="8"/>
    </row>
    <row r="98" customFormat="false" ht="15" hidden="false" customHeight="false" outlineLevel="0" collapsed="false">
      <c r="A98" s="5" t="n">
        <v>93</v>
      </c>
      <c r="B98" s="6" t="s">
        <v>246</v>
      </c>
      <c r="C98" s="6" t="s">
        <v>370</v>
      </c>
      <c r="D98" s="6" t="s">
        <v>379</v>
      </c>
      <c r="E98" s="6" t="s">
        <v>376</v>
      </c>
      <c r="F98" s="11" t="s">
        <v>22</v>
      </c>
      <c r="G98" s="6" t="s">
        <v>380</v>
      </c>
      <c r="H98" s="6" t="s">
        <v>234</v>
      </c>
      <c r="I98" s="8"/>
      <c r="J98" s="8"/>
    </row>
    <row r="99" customFormat="false" ht="15" hidden="false" customHeight="false" outlineLevel="0" collapsed="false">
      <c r="A99" s="9" t="n">
        <v>94</v>
      </c>
      <c r="B99" s="10" t="s">
        <v>246</v>
      </c>
      <c r="C99" s="10" t="s">
        <v>370</v>
      </c>
      <c r="D99" s="10" t="s">
        <v>381</v>
      </c>
      <c r="E99" s="10" t="s">
        <v>376</v>
      </c>
      <c r="F99" s="11" t="s">
        <v>22</v>
      </c>
      <c r="G99" s="10" t="s">
        <v>382</v>
      </c>
      <c r="H99" s="10" t="s">
        <v>383</v>
      </c>
      <c r="I99" s="8"/>
      <c r="J99" s="8"/>
    </row>
    <row r="100" customFormat="false" ht="22.35" hidden="false" customHeight="false" outlineLevel="0" collapsed="false">
      <c r="A100" s="5" t="n">
        <v>95</v>
      </c>
      <c r="B100" s="6" t="s">
        <v>246</v>
      </c>
      <c r="C100" s="6" t="s">
        <v>370</v>
      </c>
      <c r="D100" s="6" t="s">
        <v>384</v>
      </c>
      <c r="E100" s="6" t="s">
        <v>376</v>
      </c>
      <c r="F100" s="12" t="s">
        <v>31</v>
      </c>
      <c r="G100" s="6" t="s">
        <v>385</v>
      </c>
      <c r="H100" s="6" t="s">
        <v>386</v>
      </c>
      <c r="I100" s="8"/>
      <c r="J100" s="8"/>
    </row>
    <row r="101" customFormat="false" ht="15" hidden="false" customHeight="false" outlineLevel="0" collapsed="false">
      <c r="A101" s="9" t="n">
        <v>96</v>
      </c>
      <c r="B101" s="10" t="s">
        <v>246</v>
      </c>
      <c r="C101" s="10" t="s">
        <v>387</v>
      </c>
      <c r="D101" s="10" t="s">
        <v>388</v>
      </c>
      <c r="E101" s="10" t="s">
        <v>389</v>
      </c>
      <c r="F101" s="7" t="s">
        <v>17</v>
      </c>
      <c r="G101" s="10" t="s">
        <v>390</v>
      </c>
      <c r="H101" s="10" t="s">
        <v>391</v>
      </c>
      <c r="I101" s="8"/>
      <c r="J101" s="8"/>
    </row>
    <row r="102" customFormat="false" ht="15" hidden="false" customHeight="false" outlineLevel="0" collapsed="false">
      <c r="A102" s="5" t="n">
        <v>97</v>
      </c>
      <c r="B102" s="6" t="s">
        <v>246</v>
      </c>
      <c r="C102" s="6" t="s">
        <v>387</v>
      </c>
      <c r="D102" s="6" t="s">
        <v>392</v>
      </c>
      <c r="E102" s="6" t="s">
        <v>389</v>
      </c>
      <c r="F102" s="12" t="s">
        <v>31</v>
      </c>
      <c r="G102" s="6" t="s">
        <v>393</v>
      </c>
      <c r="H102" s="6" t="s">
        <v>394</v>
      </c>
      <c r="I102" s="8"/>
      <c r="J102" s="8"/>
    </row>
    <row r="103" customFormat="false" ht="15" hidden="false" customHeight="false" outlineLevel="0" collapsed="false">
      <c r="A103" s="9" t="n">
        <v>98</v>
      </c>
      <c r="B103" s="10" t="s">
        <v>246</v>
      </c>
      <c r="C103" s="10" t="s">
        <v>387</v>
      </c>
      <c r="D103" s="10" t="s">
        <v>395</v>
      </c>
      <c r="E103" s="10" t="s">
        <v>396</v>
      </c>
      <c r="F103" s="12" t="s">
        <v>31</v>
      </c>
      <c r="G103" s="10" t="s">
        <v>397</v>
      </c>
      <c r="H103" s="10" t="s">
        <v>398</v>
      </c>
      <c r="I103" s="8"/>
      <c r="J103" s="8"/>
    </row>
    <row r="104" customFormat="false" ht="22.35" hidden="false" customHeight="false" outlineLevel="0" collapsed="false">
      <c r="A104" s="5" t="n">
        <v>99</v>
      </c>
      <c r="B104" s="6" t="s">
        <v>246</v>
      </c>
      <c r="C104" s="6" t="s">
        <v>387</v>
      </c>
      <c r="D104" s="6" t="s">
        <v>399</v>
      </c>
      <c r="E104" s="6" t="s">
        <v>367</v>
      </c>
      <c r="F104" s="12" t="s">
        <v>31</v>
      </c>
      <c r="G104" s="6" t="s">
        <v>400</v>
      </c>
      <c r="H104" s="6" t="s">
        <v>401</v>
      </c>
      <c r="I104" s="8"/>
      <c r="J104" s="8"/>
    </row>
    <row r="105" customFormat="false" ht="15" hidden="false" customHeight="false" outlineLevel="0" collapsed="false">
      <c r="A105" s="9" t="n">
        <v>100</v>
      </c>
      <c r="B105" s="10" t="s">
        <v>246</v>
      </c>
      <c r="C105" s="10" t="s">
        <v>387</v>
      </c>
      <c r="D105" s="10" t="s">
        <v>402</v>
      </c>
      <c r="E105" s="10" t="s">
        <v>367</v>
      </c>
      <c r="F105" s="11" t="s">
        <v>22</v>
      </c>
      <c r="G105" s="10" t="s">
        <v>403</v>
      </c>
      <c r="H105" s="10" t="s">
        <v>404</v>
      </c>
      <c r="I105" s="8"/>
      <c r="J105" s="8"/>
    </row>
    <row r="106" customFormat="false" ht="15" hidden="false" customHeight="false" outlineLevel="0" collapsed="false">
      <c r="A106" s="5" t="n">
        <v>101</v>
      </c>
      <c r="B106" s="6" t="s">
        <v>246</v>
      </c>
      <c r="C106" s="6" t="s">
        <v>387</v>
      </c>
      <c r="D106" s="6" t="s">
        <v>405</v>
      </c>
      <c r="E106" s="6" t="s">
        <v>406</v>
      </c>
      <c r="F106" s="12" t="s">
        <v>31</v>
      </c>
      <c r="G106" s="6" t="s">
        <v>407</v>
      </c>
      <c r="H106" s="6" t="s">
        <v>408</v>
      </c>
      <c r="I106" s="8"/>
      <c r="J106" s="8"/>
    </row>
    <row r="107" customFormat="false" ht="22.35" hidden="false" customHeight="false" outlineLevel="0" collapsed="false">
      <c r="A107" s="9" t="n">
        <v>102</v>
      </c>
      <c r="B107" s="10" t="s">
        <v>246</v>
      </c>
      <c r="C107" s="10" t="s">
        <v>387</v>
      </c>
      <c r="D107" s="10" t="s">
        <v>409</v>
      </c>
      <c r="E107" s="10" t="s">
        <v>410</v>
      </c>
      <c r="F107" s="11" t="s">
        <v>22</v>
      </c>
      <c r="G107" s="10" t="s">
        <v>411</v>
      </c>
      <c r="H107" s="10" t="s">
        <v>412</v>
      </c>
      <c r="I107" s="8"/>
      <c r="J107" s="8"/>
    </row>
    <row r="108" customFormat="false" ht="15" hidden="false" customHeight="false" outlineLevel="0" collapsed="false">
      <c r="A108" s="5" t="n">
        <v>103</v>
      </c>
      <c r="B108" s="6" t="s">
        <v>246</v>
      </c>
      <c r="C108" s="6" t="s">
        <v>387</v>
      </c>
      <c r="D108" s="6" t="s">
        <v>413</v>
      </c>
      <c r="E108" s="6" t="s">
        <v>414</v>
      </c>
      <c r="F108" s="7" t="s">
        <v>17</v>
      </c>
      <c r="G108" s="6" t="s">
        <v>415</v>
      </c>
      <c r="H108" s="6" t="s">
        <v>416</v>
      </c>
      <c r="I108" s="8"/>
      <c r="J108" s="8"/>
    </row>
    <row r="109" customFormat="false" ht="22.35" hidden="false" customHeight="false" outlineLevel="0" collapsed="false">
      <c r="A109" s="9" t="n">
        <v>104</v>
      </c>
      <c r="B109" s="10" t="s">
        <v>246</v>
      </c>
      <c r="C109" s="10" t="s">
        <v>387</v>
      </c>
      <c r="D109" s="10" t="s">
        <v>417</v>
      </c>
      <c r="E109" s="10" t="s">
        <v>418</v>
      </c>
      <c r="F109" s="11" t="s">
        <v>22</v>
      </c>
      <c r="G109" s="10" t="s">
        <v>419</v>
      </c>
      <c r="H109" s="10" t="s">
        <v>420</v>
      </c>
      <c r="I109" s="8"/>
      <c r="J109" s="8"/>
    </row>
    <row r="110" customFormat="false" ht="15" hidden="false" customHeight="false" outlineLevel="0" collapsed="false">
      <c r="A110" s="5" t="n">
        <v>105</v>
      </c>
      <c r="B110" s="6" t="s">
        <v>246</v>
      </c>
      <c r="C110" s="6" t="s">
        <v>387</v>
      </c>
      <c r="D110" s="6" t="s">
        <v>421</v>
      </c>
      <c r="E110" s="6" t="s">
        <v>422</v>
      </c>
      <c r="F110" s="7" t="s">
        <v>17</v>
      </c>
      <c r="G110" s="6" t="s">
        <v>423</v>
      </c>
      <c r="H110" s="6" t="s">
        <v>424</v>
      </c>
      <c r="I110" s="8"/>
      <c r="J110" s="8"/>
    </row>
    <row r="111" customFormat="false" ht="22.35" hidden="false" customHeight="false" outlineLevel="0" collapsed="false">
      <c r="A111" s="9" t="n">
        <v>106</v>
      </c>
      <c r="B111" s="10" t="s">
        <v>246</v>
      </c>
      <c r="C111" s="10" t="s">
        <v>425</v>
      </c>
      <c r="D111" s="10" t="s">
        <v>426</v>
      </c>
      <c r="E111" s="10" t="s">
        <v>427</v>
      </c>
      <c r="F111" s="11" t="s">
        <v>22</v>
      </c>
      <c r="G111" s="10" t="s">
        <v>428</v>
      </c>
      <c r="H111" s="10" t="s">
        <v>429</v>
      </c>
      <c r="I111" s="8"/>
      <c r="J111" s="8"/>
    </row>
    <row r="112" customFormat="false" ht="15" hidden="false" customHeight="false" outlineLevel="0" collapsed="false">
      <c r="A112" s="5" t="n">
        <v>107</v>
      </c>
      <c r="B112" s="6" t="s">
        <v>246</v>
      </c>
      <c r="C112" s="6" t="s">
        <v>425</v>
      </c>
      <c r="D112" s="6" t="s">
        <v>430</v>
      </c>
      <c r="E112" s="6" t="s">
        <v>136</v>
      </c>
      <c r="F112" s="12" t="s">
        <v>31</v>
      </c>
      <c r="G112" s="6" t="s">
        <v>431</v>
      </c>
      <c r="H112" s="6" t="s">
        <v>432</v>
      </c>
      <c r="I112" s="8"/>
      <c r="J112" s="8"/>
    </row>
    <row r="113" customFormat="false" ht="22.35" hidden="false" customHeight="false" outlineLevel="0" collapsed="false">
      <c r="A113" s="9" t="n">
        <v>108</v>
      </c>
      <c r="B113" s="10" t="s">
        <v>246</v>
      </c>
      <c r="C113" s="10" t="s">
        <v>425</v>
      </c>
      <c r="D113" s="10" t="s">
        <v>433</v>
      </c>
      <c r="E113" s="10" t="s">
        <v>434</v>
      </c>
      <c r="F113" s="11" t="s">
        <v>22</v>
      </c>
      <c r="G113" s="10" t="s">
        <v>435</v>
      </c>
      <c r="H113" s="10" t="s">
        <v>436</v>
      </c>
      <c r="I113" s="8"/>
      <c r="J113" s="8"/>
    </row>
    <row r="114" customFormat="false" ht="22.35" hidden="false" customHeight="false" outlineLevel="0" collapsed="false">
      <c r="A114" s="5" t="n">
        <v>109</v>
      </c>
      <c r="B114" s="6" t="s">
        <v>246</v>
      </c>
      <c r="C114" s="6" t="s">
        <v>425</v>
      </c>
      <c r="D114" s="6" t="s">
        <v>437</v>
      </c>
      <c r="E114" s="6" t="s">
        <v>438</v>
      </c>
      <c r="F114" s="11" t="s">
        <v>22</v>
      </c>
      <c r="G114" s="6" t="s">
        <v>439</v>
      </c>
      <c r="H114" s="6" t="s">
        <v>440</v>
      </c>
      <c r="I114" s="8"/>
      <c r="J114" s="8"/>
    </row>
    <row r="115" customFormat="false" ht="22.35" hidden="false" customHeight="false" outlineLevel="0" collapsed="false">
      <c r="A115" s="9" t="n">
        <v>110</v>
      </c>
      <c r="B115" s="10" t="s">
        <v>246</v>
      </c>
      <c r="C115" s="10" t="s">
        <v>425</v>
      </c>
      <c r="D115" s="10" t="s">
        <v>441</v>
      </c>
      <c r="E115" s="10" t="s">
        <v>427</v>
      </c>
      <c r="F115" s="12" t="s">
        <v>31</v>
      </c>
      <c r="G115" s="10" t="s">
        <v>442</v>
      </c>
      <c r="H115" s="10" t="s">
        <v>443</v>
      </c>
      <c r="I115" s="8"/>
      <c r="J115" s="8"/>
    </row>
    <row r="116" customFormat="false" ht="22.35" hidden="false" customHeight="false" outlineLevel="0" collapsed="false">
      <c r="A116" s="5" t="n">
        <v>111</v>
      </c>
      <c r="B116" s="6" t="s">
        <v>246</v>
      </c>
      <c r="C116" s="6" t="s">
        <v>425</v>
      </c>
      <c r="D116" s="6" t="s">
        <v>444</v>
      </c>
      <c r="E116" s="6" t="s">
        <v>136</v>
      </c>
      <c r="F116" s="7" t="s">
        <v>17</v>
      </c>
      <c r="G116" s="6" t="s">
        <v>445</v>
      </c>
      <c r="H116" s="6" t="s">
        <v>446</v>
      </c>
      <c r="I116" s="8"/>
      <c r="J116" s="8"/>
    </row>
    <row r="117" customFormat="false" ht="15" hidden="false" customHeight="false" outlineLevel="0" collapsed="false">
      <c r="A117" s="9" t="n">
        <v>112</v>
      </c>
      <c r="B117" s="10" t="s">
        <v>246</v>
      </c>
      <c r="C117" s="10" t="s">
        <v>425</v>
      </c>
      <c r="D117" s="10" t="s">
        <v>447</v>
      </c>
      <c r="E117" s="10" t="s">
        <v>225</v>
      </c>
      <c r="F117" s="12" t="s">
        <v>31</v>
      </c>
      <c r="G117" s="10" t="s">
        <v>448</v>
      </c>
      <c r="H117" s="10" t="s">
        <v>449</v>
      </c>
      <c r="I117" s="8"/>
      <c r="J117" s="8"/>
    </row>
    <row r="118" customFormat="false" ht="15" hidden="false" customHeight="false" outlineLevel="0" collapsed="false">
      <c r="A118" s="5" t="n">
        <v>113</v>
      </c>
      <c r="B118" s="6" t="s">
        <v>246</v>
      </c>
      <c r="C118" s="6" t="s">
        <v>425</v>
      </c>
      <c r="D118" s="6" t="s">
        <v>450</v>
      </c>
      <c r="E118" s="6" t="s">
        <v>451</v>
      </c>
      <c r="F118" s="11" t="s">
        <v>22</v>
      </c>
      <c r="G118" s="6" t="s">
        <v>452</v>
      </c>
      <c r="H118" s="6" t="s">
        <v>453</v>
      </c>
      <c r="I118" s="8"/>
      <c r="J118" s="8"/>
    </row>
    <row r="119" customFormat="false" ht="22.35" hidden="false" customHeight="false" outlineLevel="0" collapsed="false">
      <c r="A119" s="9" t="n">
        <v>114</v>
      </c>
      <c r="B119" s="10" t="s">
        <v>246</v>
      </c>
      <c r="C119" s="10" t="s">
        <v>454</v>
      </c>
      <c r="D119" s="10" t="s">
        <v>455</v>
      </c>
      <c r="E119" s="10" t="s">
        <v>367</v>
      </c>
      <c r="F119" s="11" t="s">
        <v>22</v>
      </c>
      <c r="G119" s="10" t="s">
        <v>456</v>
      </c>
      <c r="H119" s="10" t="s">
        <v>457</v>
      </c>
      <c r="I119" s="8"/>
      <c r="J119" s="8"/>
    </row>
    <row r="120" customFormat="false" ht="22.35" hidden="false" customHeight="false" outlineLevel="0" collapsed="false">
      <c r="A120" s="5" t="n">
        <v>115</v>
      </c>
      <c r="B120" s="6" t="s">
        <v>246</v>
      </c>
      <c r="C120" s="6" t="s">
        <v>454</v>
      </c>
      <c r="D120" s="6" t="s">
        <v>458</v>
      </c>
      <c r="E120" s="6" t="s">
        <v>367</v>
      </c>
      <c r="F120" s="11" t="s">
        <v>22</v>
      </c>
      <c r="G120" s="6" t="s">
        <v>459</v>
      </c>
      <c r="H120" s="6" t="s">
        <v>460</v>
      </c>
      <c r="I120" s="8"/>
      <c r="J120" s="8"/>
    </row>
    <row r="121" customFormat="false" ht="15" hidden="false" customHeight="false" outlineLevel="0" collapsed="false">
      <c r="A121" s="9" t="n">
        <v>116</v>
      </c>
      <c r="B121" s="10" t="s">
        <v>246</v>
      </c>
      <c r="C121" s="10" t="s">
        <v>454</v>
      </c>
      <c r="D121" s="10" t="s">
        <v>461</v>
      </c>
      <c r="E121" s="10" t="s">
        <v>367</v>
      </c>
      <c r="F121" s="11" t="s">
        <v>22</v>
      </c>
      <c r="G121" s="10" t="s">
        <v>462</v>
      </c>
      <c r="H121" s="10" t="s">
        <v>463</v>
      </c>
      <c r="I121" s="8"/>
      <c r="J121" s="8"/>
    </row>
    <row r="122" customFormat="false" ht="22.35" hidden="false" customHeight="false" outlineLevel="0" collapsed="false">
      <c r="A122" s="5" t="n">
        <v>117</v>
      </c>
      <c r="B122" s="6" t="s">
        <v>246</v>
      </c>
      <c r="C122" s="6" t="s">
        <v>454</v>
      </c>
      <c r="D122" s="6" t="s">
        <v>464</v>
      </c>
      <c r="E122" s="6" t="s">
        <v>216</v>
      </c>
      <c r="F122" s="11" t="s">
        <v>22</v>
      </c>
      <c r="G122" s="6" t="s">
        <v>465</v>
      </c>
      <c r="H122" s="6" t="s">
        <v>466</v>
      </c>
      <c r="I122" s="8"/>
      <c r="J122" s="8"/>
    </row>
    <row r="123" customFormat="false" ht="15" hidden="false" customHeight="false" outlineLevel="0" collapsed="false">
      <c r="A123" s="9" t="n">
        <v>118</v>
      </c>
      <c r="B123" s="10" t="s">
        <v>246</v>
      </c>
      <c r="C123" s="10" t="s">
        <v>467</v>
      </c>
      <c r="D123" s="10" t="s">
        <v>468</v>
      </c>
      <c r="E123" s="10" t="s">
        <v>469</v>
      </c>
      <c r="F123" s="12" t="s">
        <v>31</v>
      </c>
      <c r="G123" s="10" t="s">
        <v>470</v>
      </c>
      <c r="H123" s="10" t="s">
        <v>471</v>
      </c>
      <c r="I123" s="8"/>
      <c r="J123" s="8"/>
    </row>
    <row r="124" customFormat="false" ht="22.35" hidden="false" customHeight="false" outlineLevel="0" collapsed="false">
      <c r="A124" s="5" t="n">
        <v>119</v>
      </c>
      <c r="B124" s="6" t="s">
        <v>246</v>
      </c>
      <c r="C124" s="6" t="s">
        <v>467</v>
      </c>
      <c r="D124" s="6" t="s">
        <v>472</v>
      </c>
      <c r="E124" s="6" t="s">
        <v>473</v>
      </c>
      <c r="F124" s="12" t="s">
        <v>31</v>
      </c>
      <c r="G124" s="6" t="s">
        <v>474</v>
      </c>
      <c r="H124" s="6" t="s">
        <v>475</v>
      </c>
      <c r="I124" s="8"/>
      <c r="J124" s="8"/>
    </row>
    <row r="125" customFormat="false" ht="15" hidden="false" customHeight="false" outlineLevel="0" collapsed="false">
      <c r="A125" s="9" t="n">
        <v>120</v>
      </c>
      <c r="B125" s="10" t="s">
        <v>246</v>
      </c>
      <c r="C125" s="10" t="s">
        <v>467</v>
      </c>
      <c r="D125" s="10" t="s">
        <v>476</v>
      </c>
      <c r="E125" s="10" t="s">
        <v>477</v>
      </c>
      <c r="F125" s="11" t="s">
        <v>22</v>
      </c>
      <c r="G125" s="10" t="s">
        <v>478</v>
      </c>
      <c r="H125" s="10" t="s">
        <v>479</v>
      </c>
      <c r="I125" s="8"/>
      <c r="J125" s="8"/>
    </row>
    <row r="126" customFormat="false" ht="22.35" hidden="false" customHeight="false" outlineLevel="0" collapsed="false">
      <c r="A126" s="5" t="n">
        <v>121</v>
      </c>
      <c r="B126" s="6" t="s">
        <v>480</v>
      </c>
      <c r="C126" s="6" t="s">
        <v>481</v>
      </c>
      <c r="D126" s="6" t="s">
        <v>482</v>
      </c>
      <c r="E126" s="6" t="s">
        <v>483</v>
      </c>
      <c r="F126" s="11" t="s">
        <v>22</v>
      </c>
      <c r="G126" s="6" t="s">
        <v>484</v>
      </c>
      <c r="H126" s="6" t="s">
        <v>485</v>
      </c>
      <c r="I126" s="8"/>
      <c r="J126" s="8"/>
    </row>
    <row r="127" customFormat="false" ht="22.35" hidden="false" customHeight="false" outlineLevel="0" collapsed="false">
      <c r="A127" s="9" t="n">
        <v>122</v>
      </c>
      <c r="B127" s="10" t="s">
        <v>480</v>
      </c>
      <c r="C127" s="10" t="s">
        <v>481</v>
      </c>
      <c r="D127" s="10" t="s">
        <v>486</v>
      </c>
      <c r="E127" s="10" t="s">
        <v>483</v>
      </c>
      <c r="F127" s="11" t="s">
        <v>22</v>
      </c>
      <c r="G127" s="10" t="s">
        <v>487</v>
      </c>
      <c r="H127" s="10" t="s">
        <v>488</v>
      </c>
      <c r="I127" s="8"/>
      <c r="J127" s="8"/>
    </row>
    <row r="128" customFormat="false" ht="15" hidden="false" customHeight="false" outlineLevel="0" collapsed="false">
      <c r="A128" s="5" t="n">
        <v>123</v>
      </c>
      <c r="B128" s="6" t="s">
        <v>480</v>
      </c>
      <c r="C128" s="6" t="s">
        <v>481</v>
      </c>
      <c r="D128" s="6" t="s">
        <v>489</v>
      </c>
      <c r="E128" s="6" t="s">
        <v>434</v>
      </c>
      <c r="F128" s="11" t="s">
        <v>22</v>
      </c>
      <c r="G128" s="6" t="s">
        <v>490</v>
      </c>
      <c r="H128" s="6" t="s">
        <v>491</v>
      </c>
      <c r="I128" s="8"/>
      <c r="J128" s="8"/>
    </row>
    <row r="129" customFormat="false" ht="15" hidden="false" customHeight="false" outlineLevel="0" collapsed="false">
      <c r="A129" s="9" t="n">
        <v>124</v>
      </c>
      <c r="B129" s="10" t="s">
        <v>480</v>
      </c>
      <c r="C129" s="10" t="s">
        <v>481</v>
      </c>
      <c r="D129" s="10" t="s">
        <v>492</v>
      </c>
      <c r="E129" s="10" t="s">
        <v>493</v>
      </c>
      <c r="F129" s="12" t="s">
        <v>31</v>
      </c>
      <c r="G129" s="10" t="s">
        <v>494</v>
      </c>
      <c r="H129" s="10" t="s">
        <v>495</v>
      </c>
      <c r="I129" s="8"/>
      <c r="J129" s="8"/>
    </row>
    <row r="130" customFormat="false" ht="22.35" hidden="false" customHeight="false" outlineLevel="0" collapsed="false">
      <c r="A130" s="5" t="n">
        <v>125</v>
      </c>
      <c r="B130" s="6" t="s">
        <v>480</v>
      </c>
      <c r="C130" s="6" t="s">
        <v>481</v>
      </c>
      <c r="D130" s="6" t="s">
        <v>496</v>
      </c>
      <c r="E130" s="6" t="s">
        <v>497</v>
      </c>
      <c r="F130" s="11" t="s">
        <v>22</v>
      </c>
      <c r="G130" s="6" t="s">
        <v>498</v>
      </c>
      <c r="H130" s="6" t="s">
        <v>234</v>
      </c>
      <c r="I130" s="8"/>
      <c r="J130" s="8"/>
    </row>
    <row r="131" customFormat="false" ht="22.35" hidden="false" customHeight="false" outlineLevel="0" collapsed="false">
      <c r="A131" s="9" t="n">
        <v>126</v>
      </c>
      <c r="B131" s="10" t="s">
        <v>480</v>
      </c>
      <c r="C131" s="10" t="s">
        <v>481</v>
      </c>
      <c r="D131" s="10" t="s">
        <v>499</v>
      </c>
      <c r="E131" s="10" t="s">
        <v>497</v>
      </c>
      <c r="F131" s="7" t="s">
        <v>17</v>
      </c>
      <c r="G131" s="10" t="s">
        <v>500</v>
      </c>
      <c r="H131" s="10" t="s">
        <v>501</v>
      </c>
      <c r="I131" s="8"/>
      <c r="J131" s="8"/>
    </row>
    <row r="132" customFormat="false" ht="22.35" hidden="false" customHeight="false" outlineLevel="0" collapsed="false">
      <c r="A132" s="5" t="n">
        <v>127</v>
      </c>
      <c r="B132" s="6" t="s">
        <v>480</v>
      </c>
      <c r="C132" s="6" t="s">
        <v>502</v>
      </c>
      <c r="D132" s="6" t="s">
        <v>503</v>
      </c>
      <c r="E132" s="6" t="s">
        <v>473</v>
      </c>
      <c r="F132" s="11" t="s">
        <v>22</v>
      </c>
      <c r="G132" s="6" t="s">
        <v>504</v>
      </c>
      <c r="H132" s="6" t="s">
        <v>505</v>
      </c>
      <c r="I132" s="8"/>
      <c r="J132" s="8"/>
    </row>
    <row r="133" customFormat="false" ht="15" hidden="false" customHeight="false" outlineLevel="0" collapsed="false">
      <c r="A133" s="9" t="n">
        <v>128</v>
      </c>
      <c r="B133" s="10" t="s">
        <v>480</v>
      </c>
      <c r="C133" s="10" t="s">
        <v>502</v>
      </c>
      <c r="D133" s="10" t="s">
        <v>506</v>
      </c>
      <c r="E133" s="10" t="s">
        <v>451</v>
      </c>
      <c r="F133" s="11" t="s">
        <v>22</v>
      </c>
      <c r="G133" s="10" t="s">
        <v>474</v>
      </c>
      <c r="H133" s="10" t="s">
        <v>507</v>
      </c>
      <c r="I133" s="8"/>
      <c r="J133" s="8"/>
    </row>
    <row r="134" customFormat="false" ht="22.35" hidden="false" customHeight="false" outlineLevel="0" collapsed="false">
      <c r="A134" s="5" t="n">
        <v>129</v>
      </c>
      <c r="B134" s="6" t="s">
        <v>480</v>
      </c>
      <c r="C134" s="6" t="s">
        <v>502</v>
      </c>
      <c r="D134" s="6" t="s">
        <v>508</v>
      </c>
      <c r="E134" s="6" t="s">
        <v>509</v>
      </c>
      <c r="F134" s="7" t="s">
        <v>17</v>
      </c>
      <c r="G134" s="6" t="s">
        <v>510</v>
      </c>
      <c r="H134" s="6" t="s">
        <v>511</v>
      </c>
      <c r="I134" s="8"/>
      <c r="J134" s="8"/>
    </row>
    <row r="135" customFormat="false" ht="22.35" hidden="false" customHeight="false" outlineLevel="0" collapsed="false">
      <c r="A135" s="9" t="n">
        <v>130</v>
      </c>
      <c r="B135" s="10" t="s">
        <v>480</v>
      </c>
      <c r="C135" s="10" t="s">
        <v>502</v>
      </c>
      <c r="D135" s="10" t="s">
        <v>512</v>
      </c>
      <c r="E135" s="10" t="s">
        <v>513</v>
      </c>
      <c r="F135" s="7" t="s">
        <v>17</v>
      </c>
      <c r="G135" s="10" t="s">
        <v>514</v>
      </c>
      <c r="H135" s="10" t="s">
        <v>515</v>
      </c>
      <c r="I135" s="8"/>
      <c r="J135" s="8"/>
    </row>
    <row r="136" customFormat="false" ht="15" hidden="false" customHeight="false" outlineLevel="0" collapsed="false">
      <c r="A136" s="5" t="n">
        <v>131</v>
      </c>
      <c r="B136" s="6" t="s">
        <v>480</v>
      </c>
      <c r="C136" s="6" t="s">
        <v>502</v>
      </c>
      <c r="D136" s="6" t="s">
        <v>516</v>
      </c>
      <c r="E136" s="6" t="s">
        <v>517</v>
      </c>
      <c r="F136" s="7" t="s">
        <v>17</v>
      </c>
      <c r="G136" s="6" t="s">
        <v>518</v>
      </c>
      <c r="H136" s="6" t="s">
        <v>519</v>
      </c>
      <c r="I136" s="8"/>
      <c r="J136" s="8"/>
    </row>
    <row r="137" customFormat="false" ht="15" hidden="false" customHeight="false" outlineLevel="0" collapsed="false">
      <c r="A137" s="9" t="n">
        <v>132</v>
      </c>
      <c r="B137" s="10" t="s">
        <v>480</v>
      </c>
      <c r="C137" s="10" t="s">
        <v>520</v>
      </c>
      <c r="D137" s="10" t="s">
        <v>521</v>
      </c>
      <c r="E137" s="10" t="s">
        <v>493</v>
      </c>
      <c r="F137" s="11" t="s">
        <v>22</v>
      </c>
      <c r="G137" s="10" t="s">
        <v>522</v>
      </c>
      <c r="H137" s="10" t="s">
        <v>198</v>
      </c>
      <c r="I137" s="8"/>
      <c r="J137" s="8"/>
    </row>
    <row r="138" customFormat="false" ht="15" hidden="false" customHeight="false" outlineLevel="0" collapsed="false">
      <c r="A138" s="5" t="n">
        <v>133</v>
      </c>
      <c r="B138" s="6" t="s">
        <v>480</v>
      </c>
      <c r="C138" s="6" t="s">
        <v>520</v>
      </c>
      <c r="D138" s="6" t="s">
        <v>523</v>
      </c>
      <c r="E138" s="6" t="s">
        <v>524</v>
      </c>
      <c r="F138" s="12" t="s">
        <v>31</v>
      </c>
      <c r="G138" s="6" t="s">
        <v>525</v>
      </c>
      <c r="H138" s="6" t="s">
        <v>526</v>
      </c>
      <c r="I138" s="8"/>
      <c r="J138" s="8"/>
    </row>
    <row r="139" customFormat="false" ht="22.35" hidden="false" customHeight="false" outlineLevel="0" collapsed="false">
      <c r="A139" s="9" t="n">
        <v>134</v>
      </c>
      <c r="B139" s="10" t="s">
        <v>480</v>
      </c>
      <c r="C139" s="10" t="s">
        <v>520</v>
      </c>
      <c r="D139" s="10" t="s">
        <v>527</v>
      </c>
      <c r="E139" s="10" t="s">
        <v>517</v>
      </c>
      <c r="F139" s="12" t="s">
        <v>31</v>
      </c>
      <c r="G139" s="10" t="s">
        <v>528</v>
      </c>
      <c r="H139" s="10" t="s">
        <v>529</v>
      </c>
      <c r="I139" s="8"/>
      <c r="J139" s="8"/>
    </row>
    <row r="140" customFormat="false" ht="22.35" hidden="false" customHeight="false" outlineLevel="0" collapsed="false">
      <c r="A140" s="5" t="n">
        <v>135</v>
      </c>
      <c r="B140" s="6" t="s">
        <v>530</v>
      </c>
      <c r="C140" s="6" t="s">
        <v>531</v>
      </c>
      <c r="D140" s="6" t="s">
        <v>532</v>
      </c>
      <c r="E140" s="6" t="s">
        <v>533</v>
      </c>
      <c r="F140" s="11" t="s">
        <v>22</v>
      </c>
      <c r="G140" s="6" t="s">
        <v>534</v>
      </c>
      <c r="H140" s="6" t="s">
        <v>535</v>
      </c>
      <c r="I140" s="8"/>
      <c r="J140" s="8"/>
    </row>
    <row r="141" customFormat="false" ht="22.35" hidden="false" customHeight="false" outlineLevel="0" collapsed="false">
      <c r="A141" s="9" t="n">
        <v>136</v>
      </c>
      <c r="B141" s="10" t="s">
        <v>530</v>
      </c>
      <c r="C141" s="10" t="s">
        <v>531</v>
      </c>
      <c r="D141" s="10" t="s">
        <v>536</v>
      </c>
      <c r="E141" s="10" t="s">
        <v>537</v>
      </c>
      <c r="F141" s="11" t="s">
        <v>22</v>
      </c>
      <c r="G141" s="10" t="s">
        <v>538</v>
      </c>
      <c r="H141" s="10" t="s">
        <v>539</v>
      </c>
      <c r="I141" s="8"/>
      <c r="J141" s="8"/>
    </row>
    <row r="142" customFormat="false" ht="22.35" hidden="false" customHeight="false" outlineLevel="0" collapsed="false">
      <c r="A142" s="5" t="n">
        <v>137</v>
      </c>
      <c r="B142" s="6" t="s">
        <v>530</v>
      </c>
      <c r="C142" s="6" t="s">
        <v>540</v>
      </c>
      <c r="D142" s="6" t="s">
        <v>541</v>
      </c>
      <c r="E142" s="6" t="s">
        <v>542</v>
      </c>
      <c r="F142" s="11" t="s">
        <v>22</v>
      </c>
      <c r="G142" s="6" t="s">
        <v>543</v>
      </c>
      <c r="H142" s="6" t="s">
        <v>544</v>
      </c>
      <c r="I142" s="8"/>
      <c r="J142" s="8"/>
    </row>
    <row r="143" customFormat="false" ht="15" hidden="false" customHeight="false" outlineLevel="0" collapsed="false">
      <c r="A143" s="9" t="n">
        <v>138</v>
      </c>
      <c r="B143" s="10" t="s">
        <v>530</v>
      </c>
      <c r="C143" s="10" t="s">
        <v>540</v>
      </c>
      <c r="D143" s="10" t="s">
        <v>545</v>
      </c>
      <c r="E143" s="10" t="s">
        <v>546</v>
      </c>
      <c r="F143" s="11" t="s">
        <v>22</v>
      </c>
      <c r="G143" s="10" t="s">
        <v>547</v>
      </c>
      <c r="H143" s="10" t="s">
        <v>548</v>
      </c>
      <c r="I143" s="8"/>
      <c r="J143" s="8"/>
    </row>
    <row r="144" customFormat="false" ht="22.35" hidden="false" customHeight="false" outlineLevel="0" collapsed="false">
      <c r="A144" s="5" t="n">
        <v>139</v>
      </c>
      <c r="B144" s="6" t="s">
        <v>530</v>
      </c>
      <c r="C144" s="6" t="s">
        <v>549</v>
      </c>
      <c r="D144" s="6" t="s">
        <v>550</v>
      </c>
      <c r="E144" s="6" t="s">
        <v>551</v>
      </c>
      <c r="F144" s="11" t="s">
        <v>22</v>
      </c>
      <c r="G144" s="6" t="s">
        <v>552</v>
      </c>
      <c r="H144" s="6" t="s">
        <v>333</v>
      </c>
      <c r="I144" s="8"/>
      <c r="J144" s="8"/>
    </row>
    <row r="145" customFormat="false" ht="22.35" hidden="false" customHeight="false" outlineLevel="0" collapsed="false">
      <c r="A145" s="9" t="n">
        <v>140</v>
      </c>
      <c r="B145" s="10" t="s">
        <v>530</v>
      </c>
      <c r="C145" s="10" t="s">
        <v>549</v>
      </c>
      <c r="D145" s="10" t="s">
        <v>553</v>
      </c>
      <c r="E145" s="10" t="s">
        <v>554</v>
      </c>
      <c r="F145" s="11" t="s">
        <v>22</v>
      </c>
      <c r="G145" s="10" t="s">
        <v>555</v>
      </c>
      <c r="H145" s="10" t="s">
        <v>556</v>
      </c>
      <c r="I145" s="8"/>
      <c r="J145" s="8"/>
    </row>
    <row r="146" customFormat="false" ht="22.35" hidden="false" customHeight="false" outlineLevel="0" collapsed="false">
      <c r="A146" s="5" t="n">
        <v>141</v>
      </c>
      <c r="B146" s="6" t="s">
        <v>530</v>
      </c>
      <c r="C146" s="6" t="s">
        <v>557</v>
      </c>
      <c r="D146" s="6" t="s">
        <v>558</v>
      </c>
      <c r="E146" s="6" t="s">
        <v>542</v>
      </c>
      <c r="F146" s="11" t="s">
        <v>22</v>
      </c>
      <c r="G146" s="6" t="s">
        <v>559</v>
      </c>
      <c r="H146" s="6" t="s">
        <v>560</v>
      </c>
      <c r="I146" s="8"/>
      <c r="J146" s="8"/>
    </row>
    <row r="147" customFormat="false" ht="22.35" hidden="false" customHeight="false" outlineLevel="0" collapsed="false">
      <c r="A147" s="9" t="n">
        <v>142</v>
      </c>
      <c r="B147" s="10" t="s">
        <v>530</v>
      </c>
      <c r="C147" s="10" t="s">
        <v>557</v>
      </c>
      <c r="D147" s="10" t="s">
        <v>561</v>
      </c>
      <c r="E147" s="10" t="s">
        <v>21</v>
      </c>
      <c r="F147" s="12" t="s">
        <v>31</v>
      </c>
      <c r="G147" s="10" t="s">
        <v>562</v>
      </c>
      <c r="H147" s="10" t="s">
        <v>563</v>
      </c>
      <c r="I147" s="8"/>
      <c r="J147" s="8"/>
    </row>
    <row r="148" customFormat="false" ht="22.35" hidden="false" customHeight="false" outlineLevel="0" collapsed="false">
      <c r="A148" s="5" t="n">
        <v>143</v>
      </c>
      <c r="B148" s="6" t="s">
        <v>530</v>
      </c>
      <c r="C148" s="6" t="s">
        <v>564</v>
      </c>
      <c r="D148" s="6" t="s">
        <v>565</v>
      </c>
      <c r="E148" s="6" t="s">
        <v>16</v>
      </c>
      <c r="F148" s="7" t="s">
        <v>17</v>
      </c>
      <c r="G148" s="6" t="s">
        <v>566</v>
      </c>
      <c r="H148" s="6" t="s">
        <v>567</v>
      </c>
      <c r="I148" s="8"/>
      <c r="J148" s="8"/>
    </row>
    <row r="149" customFormat="false" ht="22.35" hidden="false" customHeight="false" outlineLevel="0" collapsed="false">
      <c r="A149" s="9" t="n">
        <v>144</v>
      </c>
      <c r="B149" s="10" t="s">
        <v>530</v>
      </c>
      <c r="C149" s="10" t="s">
        <v>564</v>
      </c>
      <c r="D149" s="10" t="s">
        <v>568</v>
      </c>
      <c r="E149" s="10" t="s">
        <v>542</v>
      </c>
      <c r="F149" s="7" t="s">
        <v>17</v>
      </c>
      <c r="G149" s="10" t="s">
        <v>569</v>
      </c>
      <c r="H149" s="10" t="s">
        <v>570</v>
      </c>
      <c r="I149" s="8"/>
      <c r="J149" s="8"/>
    </row>
  </sheetData>
  <autoFilter ref="A5:J149"/>
  <dataValidations count="1">
    <dataValidation allowBlank="true" errorStyle="stop" operator="between" showDropDown="false" showErrorMessage="false" showInputMessage="false" sqref="I6:I149" type="list">
      <formula1>"Approved,Approved with conditions,Deferred,Rejected,Needs discussion"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24"/>
  </cols>
  <sheetData>
    <row r="1" customFormat="false" ht="18.55" hidden="false" customHeight="false" outlineLevel="0" collapsed="false">
      <c r="A1" s="1" t="s">
        <v>571</v>
      </c>
    </row>
    <row r="2" customFormat="false" ht="15" hidden="false" customHeight="false" outlineLevel="0" collapsed="false">
      <c r="A2" s="3" t="s">
        <v>572</v>
      </c>
    </row>
    <row r="4" customFormat="false" ht="15" hidden="false" customHeight="false" outlineLevel="0" collapsed="false">
      <c r="A4" s="13" t="s">
        <v>573</v>
      </c>
    </row>
    <row r="5" customFormat="false" ht="15" hidden="false" customHeight="false" outlineLevel="0" collapsed="false">
      <c r="A5" s="14" t="s">
        <v>574</v>
      </c>
      <c r="B5" s="14" t="s">
        <v>575</v>
      </c>
      <c r="C5" s="14" t="s">
        <v>576</v>
      </c>
    </row>
    <row r="6" customFormat="false" ht="15" hidden="false" customHeight="false" outlineLevel="0" collapsed="false">
      <c r="A6" s="15" t="s">
        <v>22</v>
      </c>
      <c r="B6" s="16" t="n">
        <f aca="false">COUNTIF('Master Activity List'!$F$6:$F$149,$A6)</f>
        <v>82</v>
      </c>
      <c r="C6" s="17" t="n">
        <f aca="false">IFERROR($B6/$B$9,0)</f>
        <v>0.569444444444444</v>
      </c>
    </row>
    <row r="7" customFormat="false" ht="15" hidden="false" customHeight="false" outlineLevel="0" collapsed="false">
      <c r="A7" s="18" t="s">
        <v>31</v>
      </c>
      <c r="B7" s="16" t="n">
        <f aca="false">COUNTIF('Master Activity List'!$F$6:$F$149,$A7)</f>
        <v>38</v>
      </c>
      <c r="C7" s="17" t="n">
        <f aca="false">IFERROR($B7/$B$9,0)</f>
        <v>0.263888888888889</v>
      </c>
    </row>
    <row r="8" customFormat="false" ht="15" hidden="false" customHeight="false" outlineLevel="0" collapsed="false">
      <c r="A8" s="19" t="s">
        <v>17</v>
      </c>
      <c r="B8" s="16" t="n">
        <f aca="false">COUNTIF('Master Activity List'!$F$6:$F$149,$A8)</f>
        <v>24</v>
      </c>
      <c r="C8" s="17" t="n">
        <f aca="false">IFERROR($B8/$B$9,0)</f>
        <v>0.166666666666667</v>
      </c>
    </row>
    <row r="9" customFormat="false" ht="15" hidden="false" customHeight="false" outlineLevel="0" collapsed="false">
      <c r="A9" s="20" t="s">
        <v>577</v>
      </c>
      <c r="B9" s="21" t="n">
        <f aca="false">SUM($B$6:$B$8)</f>
        <v>144</v>
      </c>
      <c r="C9" s="22" t="n">
        <f aca="false">IFERROR($B$9/$B$9,0)</f>
        <v>1</v>
      </c>
    </row>
    <row r="12" customFormat="false" ht="15" hidden="false" customHeight="false" outlineLevel="0" collapsed="false">
      <c r="A12" s="13" t="s">
        <v>578</v>
      </c>
    </row>
    <row r="13" customFormat="false" ht="30" hidden="false" customHeight="true" outlineLevel="0" collapsed="false">
      <c r="A13" s="4" t="s">
        <v>4</v>
      </c>
      <c r="B13" s="4" t="s">
        <v>22</v>
      </c>
      <c r="C13" s="4" t="s">
        <v>31</v>
      </c>
      <c r="D13" s="4" t="s">
        <v>17</v>
      </c>
      <c r="E13" s="4" t="s">
        <v>577</v>
      </c>
      <c r="F13" s="4" t="s">
        <v>579</v>
      </c>
    </row>
    <row r="14" customFormat="false" ht="15" hidden="false" customHeight="false" outlineLevel="0" collapsed="false">
      <c r="A14" s="23" t="s">
        <v>13</v>
      </c>
      <c r="B14" s="16" t="n">
        <f aca="false">COUNTIFS('Master Activity List'!$B$6:$B$149,$A14,'Master Activity List'!$F$6:$F$149,B$13)</f>
        <v>7</v>
      </c>
      <c r="C14" s="16" t="n">
        <f aca="false">COUNTIFS('Master Activity List'!$B$6:$B$149,$A14,'Master Activity List'!$F$6:$F$149,C$13)</f>
        <v>5</v>
      </c>
      <c r="D14" s="16" t="n">
        <f aca="false">COUNTIFS('Master Activity List'!$B$6:$B$149,$A14,'Master Activity List'!$F$6:$F$149,D$13)</f>
        <v>1</v>
      </c>
      <c r="E14" s="16" t="n">
        <f aca="false">SUM($B14:$D14)</f>
        <v>13</v>
      </c>
      <c r="F14" s="17" t="n">
        <f aca="false">IFERROR(($B14+$C14)/$E14,0)</f>
        <v>0.923076923076923</v>
      </c>
    </row>
    <row r="15" customFormat="false" ht="15" hidden="false" customHeight="false" outlineLevel="0" collapsed="false">
      <c r="A15" s="24" t="s">
        <v>64</v>
      </c>
      <c r="B15" s="25" t="n">
        <f aca="false">COUNTIFS('Master Activity List'!$B$6:$B$149,$A15,'Master Activity List'!$F$6:$F$149,B$13)</f>
        <v>4</v>
      </c>
      <c r="C15" s="25" t="n">
        <f aca="false">COUNTIFS('Master Activity List'!$B$6:$B$149,$A15,'Master Activity List'!$F$6:$F$149,C$13)</f>
        <v>2</v>
      </c>
      <c r="D15" s="25" t="n">
        <f aca="false">COUNTIFS('Master Activity List'!$B$6:$B$149,$A15,'Master Activity List'!$F$6:$F$149,D$13)</f>
        <v>0</v>
      </c>
      <c r="E15" s="25" t="n">
        <f aca="false">SUM($B15:$D15)</f>
        <v>6</v>
      </c>
      <c r="F15" s="26" t="n">
        <f aca="false">IFERROR(($B15+$C15)/$E15,0)</f>
        <v>1</v>
      </c>
    </row>
    <row r="16" customFormat="false" ht="15" hidden="false" customHeight="false" outlineLevel="0" collapsed="false">
      <c r="A16" s="23" t="s">
        <v>91</v>
      </c>
      <c r="B16" s="16" t="n">
        <f aca="false">COUNTIFS('Master Activity List'!$B$6:$B$149,$A16,'Master Activity List'!$F$6:$F$149,B$13)</f>
        <v>2</v>
      </c>
      <c r="C16" s="16" t="n">
        <f aca="false">COUNTIFS('Master Activity List'!$B$6:$B$149,$A16,'Master Activity List'!$F$6:$F$149,C$13)</f>
        <v>1</v>
      </c>
      <c r="D16" s="16" t="n">
        <f aca="false">COUNTIFS('Master Activity List'!$B$6:$B$149,$A16,'Master Activity List'!$F$6:$F$149,D$13)</f>
        <v>1</v>
      </c>
      <c r="E16" s="16" t="n">
        <f aca="false">SUM($B16:$D16)</f>
        <v>4</v>
      </c>
      <c r="F16" s="17" t="n">
        <f aca="false">IFERROR(($B16+$C16)/$E16,0)</f>
        <v>0.75</v>
      </c>
    </row>
    <row r="17" customFormat="false" ht="15" hidden="false" customHeight="false" outlineLevel="0" collapsed="false">
      <c r="A17" s="24" t="s">
        <v>109</v>
      </c>
      <c r="B17" s="25" t="n">
        <f aca="false">COUNTIFS('Master Activity List'!$B$6:$B$149,$A17,'Master Activity List'!$F$6:$F$149,B$13)</f>
        <v>7</v>
      </c>
      <c r="C17" s="25" t="n">
        <f aca="false">COUNTIFS('Master Activity List'!$B$6:$B$149,$A17,'Master Activity List'!$F$6:$F$149,C$13)</f>
        <v>4</v>
      </c>
      <c r="D17" s="25" t="n">
        <f aca="false">COUNTIFS('Master Activity List'!$B$6:$B$149,$A17,'Master Activity List'!$F$6:$F$149,D$13)</f>
        <v>5</v>
      </c>
      <c r="E17" s="25" t="n">
        <f aca="false">SUM($B17:$D17)</f>
        <v>16</v>
      </c>
      <c r="F17" s="26" t="n">
        <f aca="false">IFERROR(($B17+$C17)/$E17,0)</f>
        <v>0.6875</v>
      </c>
    </row>
    <row r="18" customFormat="false" ht="15" hidden="false" customHeight="false" outlineLevel="0" collapsed="false">
      <c r="A18" s="23" t="s">
        <v>172</v>
      </c>
      <c r="B18" s="16" t="n">
        <f aca="false">COUNTIFS('Master Activity List'!$B$6:$B$149,$A18,'Master Activity List'!$F$6:$F$149,B$13)</f>
        <v>3</v>
      </c>
      <c r="C18" s="16" t="n">
        <f aca="false">COUNTIFS('Master Activity List'!$B$6:$B$149,$A18,'Master Activity List'!$F$6:$F$149,C$13)</f>
        <v>2</v>
      </c>
      <c r="D18" s="16" t="n">
        <f aca="false">COUNTIFS('Master Activity List'!$B$6:$B$149,$A18,'Master Activity List'!$F$6:$F$149,D$13)</f>
        <v>0</v>
      </c>
      <c r="E18" s="16" t="n">
        <f aca="false">SUM($B18:$D18)</f>
        <v>5</v>
      </c>
      <c r="F18" s="17" t="n">
        <f aca="false">IFERROR(($B18+$C18)/$E18,0)</f>
        <v>1</v>
      </c>
    </row>
    <row r="19" customFormat="false" ht="15" hidden="false" customHeight="false" outlineLevel="0" collapsed="false">
      <c r="A19" s="24" t="s">
        <v>193</v>
      </c>
      <c r="B19" s="25" t="n">
        <f aca="false">COUNTIFS('Master Activity List'!$B$6:$B$149,$A19,'Master Activity List'!$F$6:$F$149,B$13)</f>
        <v>2</v>
      </c>
      <c r="C19" s="25" t="n">
        <f aca="false">COUNTIFS('Master Activity List'!$B$6:$B$149,$A19,'Master Activity List'!$F$6:$F$149,C$13)</f>
        <v>0</v>
      </c>
      <c r="D19" s="25" t="n">
        <f aca="false">COUNTIFS('Master Activity List'!$B$6:$B$149,$A19,'Master Activity List'!$F$6:$F$149,D$13)</f>
        <v>1</v>
      </c>
      <c r="E19" s="25" t="n">
        <f aca="false">SUM($B19:$D19)</f>
        <v>3</v>
      </c>
      <c r="F19" s="26" t="n">
        <f aca="false">IFERROR(($B19+$C19)/$E19,0)</f>
        <v>0.666666666666667</v>
      </c>
    </row>
    <row r="20" customFormat="false" ht="15" hidden="false" customHeight="false" outlineLevel="0" collapsed="false">
      <c r="A20" s="23" t="s">
        <v>208</v>
      </c>
      <c r="B20" s="16" t="n">
        <f aca="false">COUNTIFS('Master Activity List'!$B$6:$B$149,$A20,'Master Activity List'!$F$6:$F$149,B$13)</f>
        <v>6</v>
      </c>
      <c r="C20" s="16" t="n">
        <f aca="false">COUNTIFS('Master Activity List'!$B$6:$B$149,$A20,'Master Activity List'!$F$6:$F$149,C$13)</f>
        <v>0</v>
      </c>
      <c r="D20" s="16" t="n">
        <f aca="false">COUNTIFS('Master Activity List'!$B$6:$B$149,$A20,'Master Activity List'!$F$6:$F$149,D$13)</f>
        <v>3</v>
      </c>
      <c r="E20" s="16" t="n">
        <f aca="false">SUM($B20:$D20)</f>
        <v>9</v>
      </c>
      <c r="F20" s="17" t="n">
        <f aca="false">IFERROR(($B20+$C20)/$E20,0)</f>
        <v>0.666666666666667</v>
      </c>
    </row>
    <row r="21" customFormat="false" ht="15" hidden="false" customHeight="false" outlineLevel="0" collapsed="false">
      <c r="A21" s="24" t="s">
        <v>246</v>
      </c>
      <c r="B21" s="25" t="n">
        <f aca="false">COUNTIFS('Master Activity List'!$B$6:$B$149,$A21,'Master Activity List'!$F$6:$F$149,B$13)</f>
        <v>37</v>
      </c>
      <c r="C21" s="25" t="n">
        <f aca="false">COUNTIFS('Master Activity List'!$B$6:$B$149,$A21,'Master Activity List'!$F$6:$F$149,C$13)</f>
        <v>20</v>
      </c>
      <c r="D21" s="25" t="n">
        <f aca="false">COUNTIFS('Master Activity List'!$B$6:$B$149,$A21,'Master Activity List'!$F$6:$F$149,D$13)</f>
        <v>7</v>
      </c>
      <c r="E21" s="25" t="n">
        <f aca="false">SUM($B21:$D21)</f>
        <v>64</v>
      </c>
      <c r="F21" s="26" t="n">
        <f aca="false">IFERROR(($B21+$C21)/$E21,0)</f>
        <v>0.890625</v>
      </c>
    </row>
    <row r="22" customFormat="false" ht="15" hidden="false" customHeight="false" outlineLevel="0" collapsed="false">
      <c r="A22" s="23" t="s">
        <v>480</v>
      </c>
      <c r="B22" s="16" t="n">
        <f aca="false">COUNTIFS('Master Activity List'!$B$6:$B$149,$A22,'Master Activity List'!$F$6:$F$149,B$13)</f>
        <v>7</v>
      </c>
      <c r="C22" s="16" t="n">
        <f aca="false">COUNTIFS('Master Activity List'!$B$6:$B$149,$A22,'Master Activity List'!$F$6:$F$149,C$13)</f>
        <v>3</v>
      </c>
      <c r="D22" s="16" t="n">
        <f aca="false">COUNTIFS('Master Activity List'!$B$6:$B$149,$A22,'Master Activity List'!$F$6:$F$149,D$13)</f>
        <v>4</v>
      </c>
      <c r="E22" s="16" t="n">
        <f aca="false">SUM($B22:$D22)</f>
        <v>14</v>
      </c>
      <c r="F22" s="17" t="n">
        <f aca="false">IFERROR(($B22+$C22)/$E22,0)</f>
        <v>0.714285714285714</v>
      </c>
    </row>
    <row r="23" customFormat="false" ht="15" hidden="false" customHeight="false" outlineLevel="0" collapsed="false">
      <c r="A23" s="24" t="s">
        <v>530</v>
      </c>
      <c r="B23" s="25" t="n">
        <f aca="false">COUNTIFS('Master Activity List'!$B$6:$B$149,$A23,'Master Activity List'!$F$6:$F$149,B$13)</f>
        <v>7</v>
      </c>
      <c r="C23" s="25" t="n">
        <f aca="false">COUNTIFS('Master Activity List'!$B$6:$B$149,$A23,'Master Activity List'!$F$6:$F$149,C$13)</f>
        <v>1</v>
      </c>
      <c r="D23" s="25" t="n">
        <f aca="false">COUNTIFS('Master Activity List'!$B$6:$B$149,$A23,'Master Activity List'!$F$6:$F$149,D$13)</f>
        <v>2</v>
      </c>
      <c r="E23" s="25" t="n">
        <f aca="false">SUM($B23:$D23)</f>
        <v>10</v>
      </c>
      <c r="F23" s="26" t="n">
        <f aca="false">IFERROR(($B23+$C23)/$E23,0)</f>
        <v>0.8</v>
      </c>
    </row>
    <row r="24" customFormat="false" ht="15" hidden="false" customHeight="false" outlineLevel="0" collapsed="false">
      <c r="A24" s="21" t="s">
        <v>577</v>
      </c>
      <c r="B24" s="21" t="n">
        <f aca="false">SUM(B14:B23)</f>
        <v>82</v>
      </c>
      <c r="C24" s="21" t="n">
        <f aca="false">SUM(C14:C23)</f>
        <v>38</v>
      </c>
      <c r="D24" s="21" t="n">
        <f aca="false">SUM(D14:D23)</f>
        <v>24</v>
      </c>
      <c r="E24" s="21" t="n">
        <f aca="false">SUM(E14:E23)</f>
        <v>144</v>
      </c>
      <c r="F24" s="22" t="n">
        <f aca="false">IFERROR(($B24+$C24)/$E24,0)</f>
        <v>0.833333333333333</v>
      </c>
    </row>
    <row r="26" customFormat="false" ht="15" hidden="false" customHeight="false" outlineLevel="0" collapsed="false">
      <c r="A26" s="13" t="s">
        <v>580</v>
      </c>
    </row>
    <row r="27" customFormat="false" ht="30" hidden="false" customHeight="true" outlineLevel="0" collapsed="false">
      <c r="A27" s="27" t="s">
        <v>581</v>
      </c>
      <c r="B27" s="27"/>
      <c r="C27" s="27"/>
      <c r="D27" s="27"/>
      <c r="E27" s="27"/>
      <c r="F27" s="27"/>
    </row>
    <row r="28" customFormat="false" ht="30" hidden="false" customHeight="true" outlineLevel="0" collapsed="false">
      <c r="A28" s="27" t="s">
        <v>582</v>
      </c>
      <c r="B28" s="27"/>
      <c r="C28" s="27"/>
      <c r="D28" s="27"/>
      <c r="E28" s="27"/>
      <c r="F28" s="27"/>
    </row>
    <row r="29" customFormat="false" ht="30" hidden="false" customHeight="true" outlineLevel="0" collapsed="false">
      <c r="A29" s="27" t="s">
        <v>583</v>
      </c>
      <c r="B29" s="27"/>
      <c r="C29" s="27"/>
      <c r="D29" s="27"/>
      <c r="E29" s="27"/>
      <c r="F29" s="27"/>
    </row>
    <row r="30" customFormat="false" ht="30" hidden="false" customHeight="true" outlineLevel="0" collapsed="false">
      <c r="A30" s="27" t="s">
        <v>584</v>
      </c>
      <c r="B30" s="27"/>
      <c r="C30" s="27"/>
      <c r="D30" s="27"/>
      <c r="E30" s="27"/>
      <c r="F30" s="27"/>
    </row>
    <row r="31" customFormat="false" ht="30" hidden="false" customHeight="true" outlineLevel="0" collapsed="false">
      <c r="A31" s="27" t="s">
        <v>585</v>
      </c>
      <c r="B31" s="27"/>
      <c r="C31" s="27"/>
      <c r="D31" s="27"/>
      <c r="E31" s="27"/>
      <c r="F31" s="27"/>
    </row>
  </sheetData>
  <mergeCells count="5">
    <mergeCell ref="A27:F27"/>
    <mergeCell ref="A28:F28"/>
    <mergeCell ref="A29:F29"/>
    <mergeCell ref="A30:F30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92"/>
  </cols>
  <sheetData>
    <row r="1" customFormat="false" ht="18.55" hidden="false" customHeight="false" outlineLevel="0" collapsed="false">
      <c r="A1" s="1" t="s">
        <v>586</v>
      </c>
    </row>
    <row r="2" customFormat="false" ht="15" hidden="false" customHeight="false" outlineLevel="0" collapsed="false">
      <c r="A2" s="3" t="s">
        <v>587</v>
      </c>
    </row>
    <row r="4" customFormat="false" ht="15" hidden="false" customHeight="false" outlineLevel="0" collapsed="false">
      <c r="A4" s="14" t="s">
        <v>588</v>
      </c>
      <c r="B4" s="14" t="s">
        <v>589</v>
      </c>
      <c r="C4" s="14" t="s">
        <v>590</v>
      </c>
    </row>
    <row r="5" customFormat="false" ht="22.35" hidden="false" customHeight="false" outlineLevel="0" collapsed="false">
      <c r="A5" s="28" t="s">
        <v>21</v>
      </c>
      <c r="B5" s="6" t="s">
        <v>591</v>
      </c>
      <c r="C5" s="6" t="s">
        <v>592</v>
      </c>
    </row>
    <row r="6" customFormat="false" ht="15" hidden="false" customHeight="false" outlineLevel="0" collapsed="false">
      <c r="A6" s="29" t="s">
        <v>593</v>
      </c>
      <c r="B6" s="10" t="s">
        <v>591</v>
      </c>
      <c r="C6" s="10" t="s">
        <v>594</v>
      </c>
    </row>
    <row r="7" customFormat="false" ht="15" hidden="false" customHeight="false" outlineLevel="0" collapsed="false">
      <c r="A7" s="28" t="s">
        <v>595</v>
      </c>
      <c r="B7" s="6" t="s">
        <v>596</v>
      </c>
      <c r="C7" s="6" t="s">
        <v>597</v>
      </c>
    </row>
    <row r="8" customFormat="false" ht="15" hidden="false" customHeight="false" outlineLevel="0" collapsed="false">
      <c r="A8" s="29" t="s">
        <v>156</v>
      </c>
      <c r="B8" s="10" t="s">
        <v>596</v>
      </c>
      <c r="C8" s="10" t="s">
        <v>598</v>
      </c>
    </row>
    <row r="9" customFormat="false" ht="15" hidden="false" customHeight="false" outlineLevel="0" collapsed="false">
      <c r="A9" s="28" t="s">
        <v>599</v>
      </c>
      <c r="B9" s="6" t="s">
        <v>596</v>
      </c>
      <c r="C9" s="6" t="s">
        <v>600</v>
      </c>
    </row>
    <row r="10" customFormat="false" ht="15" hidden="false" customHeight="false" outlineLevel="0" collapsed="false">
      <c r="A10" s="29" t="s">
        <v>601</v>
      </c>
      <c r="B10" s="10" t="s">
        <v>602</v>
      </c>
      <c r="C10" s="10" t="s">
        <v>603</v>
      </c>
    </row>
    <row r="11" customFormat="false" ht="22.35" hidden="false" customHeight="false" outlineLevel="0" collapsed="false">
      <c r="A11" s="28" t="s">
        <v>83</v>
      </c>
      <c r="B11" s="6" t="s">
        <v>115</v>
      </c>
      <c r="C11" s="6" t="s">
        <v>604</v>
      </c>
    </row>
    <row r="12" customFormat="false" ht="15" hidden="false" customHeight="false" outlineLevel="0" collapsed="false">
      <c r="A12" s="29" t="s">
        <v>211</v>
      </c>
      <c r="B12" s="10" t="s">
        <v>605</v>
      </c>
      <c r="C12" s="10" t="s">
        <v>606</v>
      </c>
    </row>
    <row r="13" customFormat="false" ht="15" hidden="false" customHeight="false" outlineLevel="0" collapsed="false">
      <c r="A13" s="28" t="s">
        <v>493</v>
      </c>
      <c r="B13" s="6" t="s">
        <v>607</v>
      </c>
      <c r="C13" s="6" t="s">
        <v>608</v>
      </c>
    </row>
    <row r="14" customFormat="false" ht="15" hidden="false" customHeight="false" outlineLevel="0" collapsed="false">
      <c r="A14" s="29" t="s">
        <v>609</v>
      </c>
      <c r="B14" s="10" t="s">
        <v>607</v>
      </c>
      <c r="C14" s="10" t="s">
        <v>610</v>
      </c>
    </row>
    <row r="15" customFormat="false" ht="15" hidden="false" customHeight="false" outlineLevel="0" collapsed="false">
      <c r="A15" s="28" t="s">
        <v>611</v>
      </c>
      <c r="B15" s="6" t="s">
        <v>607</v>
      </c>
      <c r="C15" s="6" t="s">
        <v>612</v>
      </c>
    </row>
    <row r="16" customFormat="false" ht="22.35" hidden="false" customHeight="false" outlineLevel="0" collapsed="false">
      <c r="A16" s="29" t="s">
        <v>613</v>
      </c>
      <c r="B16" s="10" t="s">
        <v>614</v>
      </c>
      <c r="C16" s="10" t="s">
        <v>615</v>
      </c>
    </row>
    <row r="17" customFormat="false" ht="22.35" hidden="false" customHeight="false" outlineLevel="0" collapsed="false">
      <c r="A17" s="28" t="s">
        <v>616</v>
      </c>
      <c r="B17" s="6" t="s">
        <v>614</v>
      </c>
      <c r="C17" s="6" t="s">
        <v>617</v>
      </c>
    </row>
    <row r="18" customFormat="false" ht="15" hidden="false" customHeight="false" outlineLevel="0" collapsed="false">
      <c r="A18" s="29" t="s">
        <v>618</v>
      </c>
      <c r="B18" s="10" t="s">
        <v>614</v>
      </c>
      <c r="C18" s="10" t="s">
        <v>619</v>
      </c>
    </row>
    <row r="19" customFormat="false" ht="15" hidden="false" customHeight="false" outlineLevel="0" collapsed="false">
      <c r="A19" s="28" t="s">
        <v>620</v>
      </c>
      <c r="B19" s="6" t="s">
        <v>614</v>
      </c>
      <c r="C19" s="6" t="s">
        <v>621</v>
      </c>
    </row>
    <row r="20" customFormat="false" ht="15" hidden="false" customHeight="false" outlineLevel="0" collapsed="false">
      <c r="A20" s="29" t="s">
        <v>622</v>
      </c>
      <c r="B20" s="10" t="s">
        <v>614</v>
      </c>
      <c r="C20" s="10" t="s">
        <v>623</v>
      </c>
    </row>
    <row r="21" customFormat="false" ht="15" hidden="false" customHeight="false" outlineLevel="0" collapsed="false">
      <c r="A21" s="28" t="s">
        <v>624</v>
      </c>
      <c r="B21" s="6" t="s">
        <v>614</v>
      </c>
      <c r="C21" s="6" t="s">
        <v>625</v>
      </c>
    </row>
    <row r="22" customFormat="false" ht="15" hidden="false" customHeight="false" outlineLevel="0" collapsed="false">
      <c r="A22" s="29" t="s">
        <v>626</v>
      </c>
      <c r="B22" s="10" t="s">
        <v>614</v>
      </c>
      <c r="C22" s="10" t="s">
        <v>627</v>
      </c>
    </row>
    <row r="23" customFormat="false" ht="15" hidden="false" customHeight="false" outlineLevel="0" collapsed="false">
      <c r="A23" s="28" t="s">
        <v>260</v>
      </c>
      <c r="B23" s="6" t="s">
        <v>614</v>
      </c>
      <c r="C23" s="6" t="s">
        <v>628</v>
      </c>
    </row>
    <row r="24" customFormat="false" ht="15" hidden="false" customHeight="false" outlineLevel="0" collapsed="false">
      <c r="A24" s="29" t="s">
        <v>629</v>
      </c>
      <c r="B24" s="10" t="s">
        <v>614</v>
      </c>
      <c r="C24" s="10" t="s">
        <v>630</v>
      </c>
    </row>
    <row r="25" customFormat="false" ht="15" hidden="false" customHeight="false" outlineLevel="0" collapsed="false">
      <c r="A25" s="28" t="s">
        <v>631</v>
      </c>
      <c r="B25" s="6" t="s">
        <v>614</v>
      </c>
      <c r="C25" s="6" t="s">
        <v>632</v>
      </c>
    </row>
    <row r="26" customFormat="false" ht="15" hidden="false" customHeight="false" outlineLevel="0" collapsed="false">
      <c r="A26" s="29" t="s">
        <v>633</v>
      </c>
      <c r="B26" s="10" t="s">
        <v>614</v>
      </c>
      <c r="C26" s="10" t="s">
        <v>634</v>
      </c>
    </row>
    <row r="27" customFormat="false" ht="15" hidden="false" customHeight="false" outlineLevel="0" collapsed="false">
      <c r="A27" s="28" t="s">
        <v>635</v>
      </c>
      <c r="B27" s="6" t="s">
        <v>614</v>
      </c>
      <c r="C27" s="6" t="s">
        <v>636</v>
      </c>
    </row>
    <row r="28" customFormat="false" ht="15" hidden="false" customHeight="false" outlineLevel="0" collapsed="false">
      <c r="A28" s="29" t="s">
        <v>497</v>
      </c>
      <c r="B28" s="10" t="s">
        <v>115</v>
      </c>
      <c r="C28" s="10" t="s">
        <v>637</v>
      </c>
    </row>
    <row r="29" customFormat="false" ht="15" hidden="false" customHeight="false" outlineLevel="0" collapsed="false">
      <c r="A29" s="28" t="s">
        <v>638</v>
      </c>
      <c r="B29" s="6" t="s">
        <v>115</v>
      </c>
      <c r="C29" s="6" t="s">
        <v>639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2026-10-13T08:16:57Z</dcterms:created>
  <dc:creator>openpyxl</dc:creator>
  <dc:description/>
  <dc:language>en-US</dc:language>
  <cp:lastModifiedBy/>
  <dcterms:modified xsi:type="dcterms:W3CDTF">2026-10-13T08:16:57Z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