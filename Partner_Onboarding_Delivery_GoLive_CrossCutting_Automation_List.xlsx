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Activity List" sheetId="1" state="visible" r:id="rId3"/>
    <sheet name="Summary" sheetId="2" state="visible" r:id="rId4"/>
    <sheet name="Teams and Personas" sheetId="3" state="visible" r:id="rId5"/>
  </sheets>
  <definedNames>
    <definedName function="false" hidden="true" localSheetId="0" name="_xlnm._FilterDatabase" vbProcedure="false">'Master Activity List'!$A$5:$J$93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I5" authorId="0">
      <text>
        <r>
          <rPr>
            <sz val="10"/>
            <rFont val="Arial"/>
            <family val="2"/>
          </rPr>
          <t xml:space="preserve">Leadership input cell. Select a decision from the dropdown for each activity, or filter by Automation Verdict and decide in blocks.</t>
        </r>
      </text>
    </comment>
  </commentList>
</comments>
</file>

<file path=xl/sharedStrings.xml><?xml version="1.0" encoding="utf-8"?>
<sst xmlns="http://schemas.openxmlformats.org/spreadsheetml/2006/main" count="737" uniqueCount="423">
  <si>
    <t xml:space="preserve">Partner Onboarding — Activity List and Automation Assessment</t>
  </si>
  <si>
    <t xml:space="preserve">Every activity performed by the Partner Onboarding Resource across Development &amp; Delivery, Partner Live and the cross-cutting activities that run throughout, the teams engaged for each, and an assessment of whether it can be automated. Columns I and J are for leadership to complete.</t>
  </si>
  <si>
    <t xml:space="preserve">Verdicts:   Automate in full = the activity can be performed by a system end to end.   Assist = a system prepares, routes, tracks or drafts; a person completes or decides.   Retain as human work = the activity must continue to be performed by a person.</t>
  </si>
  <si>
    <t xml:space="preserve">ID</t>
  </si>
  <si>
    <t xml:space="preserve">Stage</t>
  </si>
  <si>
    <t xml:space="preserve">Activity Group</t>
  </si>
  <si>
    <t xml:space="preserve">Activity Performed by the Partner Onboarding Resource</t>
  </si>
  <si>
    <t xml:space="preserve">Teams / Personas Engaged</t>
  </si>
  <si>
    <t xml:space="preserve">Automation Verdict</t>
  </si>
  <si>
    <t xml:space="preserve">What Automation Would Cover</t>
  </si>
  <si>
    <t xml:space="preserve">Reasoning</t>
  </si>
  <si>
    <t xml:space="preserve">Leadership Decision</t>
  </si>
  <si>
    <t xml:space="preserve">Leadership Notes</t>
  </si>
  <si>
    <t xml:space="preserve">8 Development &amp; Delivery</t>
  </si>
  <si>
    <t xml:space="preserve">Foundational setup</t>
  </si>
  <si>
    <t xml:space="preserve">Look up or register the business application identity</t>
  </si>
  <si>
    <t xml:space="preserve">Application registry; partner team</t>
  </si>
  <si>
    <t xml:space="preserve">Automate in full</t>
  </si>
  <si>
    <t xml:space="preserve">Lookup and registration, linking every downstream request to one identity</t>
  </si>
  <si>
    <t xml:space="preserve">Mechanical registry operation.</t>
  </si>
  <si>
    <t xml:space="preserve">Guide the certificate request</t>
  </si>
  <si>
    <t xml:space="preserve">Certificate management team; partner team</t>
  </si>
  <si>
    <t xml:space="preserve">Guiding the request with the correct attributes for the target environment</t>
  </si>
  <si>
    <t xml:space="preserve">Fixed procedure with environment-specific parameters.</t>
  </si>
  <si>
    <t xml:space="preserve">Advise on certificate renewal windows and expiry consequences</t>
  </si>
  <si>
    <t xml:space="preserve">Partner / application team</t>
  </si>
  <si>
    <t xml:space="preserve">Advisory plus proactive expiry alerting</t>
  </si>
  <si>
    <t xml:space="preserve">Reference knowledge plus date tracking.</t>
  </si>
  <si>
    <t xml:space="preserve">Determine the correct access route for a given request type</t>
  </si>
  <si>
    <t xml:space="preserve">Security teams</t>
  </si>
  <si>
    <t xml:space="preserve">Applying the routing rule and returning the correct path with its basis</t>
  </si>
  <si>
    <t xml:space="preserve">A documented rule that is applied from memory today. Misrouting is not rejected — the request simply waits in the wrong queue.</t>
  </si>
  <si>
    <t xml:space="preserve">Raise service account creation requests</t>
  </si>
  <si>
    <t xml:space="preserve">Access request tooling; security</t>
  </si>
  <si>
    <t xml:space="preserve">Raising the request on the correct path for both environments</t>
  </si>
  <si>
    <t xml:space="preserve">Mechanical once routing is resolved.</t>
  </si>
  <si>
    <t xml:space="preserve">Raise service account group membership requests</t>
  </si>
  <si>
    <t xml:space="preserve">Raise human user access requests</t>
  </si>
  <si>
    <t xml:space="preserve">Access request tooling; identity management; security</t>
  </si>
  <si>
    <t xml:space="preserve">Routing by domain and raising on the correct path</t>
  </si>
  <si>
    <t xml:space="preserve">Human access routes differently from service accounts; the rule is documented and currently applied by recall.</t>
  </si>
  <si>
    <t xml:space="preserve">Raise the firewall connectivity request from the partner zone</t>
  </si>
  <si>
    <t xml:space="preserve">Network and security teams</t>
  </si>
  <si>
    <t xml:space="preserve">Assembling and raising the request</t>
  </si>
  <si>
    <t xml:space="preserve">Long lead-time item with a fixed request format.</t>
  </si>
  <si>
    <t xml:space="preserve">Track all outstanding access, certificate and connectivity requests</t>
  </si>
  <si>
    <t xml:space="preserve">Security; network; identity management</t>
  </si>
  <si>
    <t xml:space="preserve">A single ageing view across every outstanding request</t>
  </si>
  <si>
    <t xml:space="preserve">Status aggregation. Today this is a mental list.</t>
  </si>
  <si>
    <t xml:space="preserve">Complete system security analysis</t>
  </si>
  <si>
    <t xml:space="preserve">Security team</t>
  </si>
  <si>
    <t xml:space="preserve">Assist</t>
  </si>
  <si>
    <t xml:space="preserve">Walking the checklist and tracking completion</t>
  </si>
  <si>
    <t xml:space="preserve">The checklist is fixed; the analysis and its sign-off are a security responsibility.</t>
  </si>
  <si>
    <t xml:space="preserve">Complete user security analysis</t>
  </si>
  <si>
    <t xml:space="preserve">As above — the assessment itself is a security judgement.</t>
  </si>
  <si>
    <t xml:space="preserve">Agreement</t>
  </si>
  <si>
    <t xml:space="preserve">Assemble the Partner System Agreement and capture sign-off</t>
  </si>
  <si>
    <t xml:space="preserve">Partner team; support and management teams</t>
  </si>
  <si>
    <t xml:space="preserve">Assembling the agreement, capturing sign-off evidence, filing it against the onboarding</t>
  </si>
  <si>
    <t xml:space="preserve">Assembly and filing are mechanical; securing agreement to the terms is a relationship and governance step.</t>
  </si>
  <si>
    <t xml:space="preserve">Gateway</t>
  </si>
  <si>
    <t xml:space="preserve">Guide the partner through gateway marketplace onboarding</t>
  </si>
  <si>
    <t xml:space="preserve">Gateway team; partner team</t>
  </si>
  <si>
    <t xml:space="preserve">Step-by-step guidance through the onboarding procedure</t>
  </si>
  <si>
    <t xml:space="preserve">Fixed, documented, repeated procedure.</t>
  </si>
  <si>
    <t xml:space="preserve">Identify the required platform API products</t>
  </si>
  <si>
    <t xml:space="preserve">Partner team; architects</t>
  </si>
  <si>
    <t xml:space="preserve">Mapping the stated capability requirements to API products</t>
  </si>
  <si>
    <t xml:space="preserve">Rule-based mapping from requirements to a known catalogue.</t>
  </si>
  <si>
    <t xml:space="preserve">Register the application and raise API subscriptions</t>
  </si>
  <si>
    <t xml:space="preserve">Gateway team</t>
  </si>
  <si>
    <t xml:space="preserve">Registration and subscription against the identified products</t>
  </si>
  <si>
    <t xml:space="preserve">Mechanical operation.</t>
  </si>
  <si>
    <t xml:space="preserve">Obtain gateway approvals</t>
  </si>
  <si>
    <t xml:space="preserve">Raising the request and tracking it to a decision</t>
  </si>
  <si>
    <t xml:space="preserve">The approval itself is a gateway team decision.</t>
  </si>
  <si>
    <t xml:space="preserve">Maintain the gateway onboarding tracker</t>
  </si>
  <si>
    <t xml:space="preserve">Keeping the tracker current as subscriptions and approvals progress</t>
  </si>
  <si>
    <t xml:space="preserve">Record keeping that today competes with delivery work for attention.</t>
  </si>
  <si>
    <t xml:space="preserve">Produce a partner-specific API collection for testing</t>
  </si>
  <si>
    <t xml:space="preserve">Generating the collection with correct endpoints, authentication and sample payloads</t>
  </si>
  <si>
    <t xml:space="preserve">Generation from known configuration.</t>
  </si>
  <si>
    <t xml:space="preserve">Event enablement</t>
  </si>
  <si>
    <t xml:space="preserve">Initiate the Kafka enablement engagement</t>
  </si>
  <si>
    <t xml:space="preserve">Kafka enablement team</t>
  </si>
  <si>
    <t xml:space="preserve">Raising the engagement and explaining its approval path and lead time</t>
  </si>
  <si>
    <t xml:space="preserve">Fixed engagement initiation.</t>
  </si>
  <si>
    <t xml:space="preserve">Design the consumer group configuration</t>
  </si>
  <si>
    <t xml:space="preserve">Kafka enablement team; architects</t>
  </si>
  <si>
    <t xml:space="preserve">Proposing a configuration against the reconciliation requirements</t>
  </si>
  <si>
    <t xml:space="preserve">Design judgement about the partner's consumption pattern.</t>
  </si>
  <si>
    <t xml:space="preserve">Raise consumer group provisioning</t>
  </si>
  <si>
    <t xml:space="preserve">Raising the provisioning request on the relevant topic</t>
  </si>
  <si>
    <t xml:space="preserve">Mechanical once the design is agreed.</t>
  </si>
  <si>
    <t xml:space="preserve">Configure ingestion notifications</t>
  </si>
  <si>
    <t xml:space="preserve">Configuration against the agreed design and validation that notifications flow</t>
  </si>
  <si>
    <t xml:space="preserve">Configuration is mechanical; validating end-to-end behaviour needs a person.</t>
  </si>
  <si>
    <t xml:space="preserve">Advise on reconciliation, retry and exception handling design</t>
  </si>
  <si>
    <t xml:space="preserve">Supplying the reference patterns and checking the design against them</t>
  </si>
  <si>
    <t xml:space="preserve">The partner's reconciliation design is their own architecture decision.</t>
  </si>
  <si>
    <t xml:space="preserve">Maintain the event onboarding tracker</t>
  </si>
  <si>
    <t xml:space="preserve">Keeping the tracker current</t>
  </si>
  <si>
    <t xml:space="preserve">Record keeping.</t>
  </si>
  <si>
    <t xml:space="preserve">Content — untrusted</t>
  </si>
  <si>
    <t xml:space="preserve">Onboard untrusted content to virus scanning</t>
  </si>
  <si>
    <t xml:space="preserve">Scanning team; security</t>
  </si>
  <si>
    <t xml:space="preserve">Raising the onboarding and confirming coverage</t>
  </si>
  <si>
    <t xml:space="preserve">Mandatory step with a fixed procedure.</t>
  </si>
  <si>
    <t xml:space="preserve">Engage the classification team</t>
  </si>
  <si>
    <t xml:space="preserve">iDocs team</t>
  </si>
  <si>
    <t xml:space="preserve">Initiating the engagement and setting out what is required from the partner</t>
  </si>
  <si>
    <t xml:space="preserve">Specify and validate document sample collection</t>
  </si>
  <si>
    <t xml:space="preserve">Partner team; iDocs; Imaging Governance</t>
  </si>
  <si>
    <t xml:space="preserve">Specifying how many samples of which types are needed and validating what is supplied</t>
  </si>
  <si>
    <t xml:space="preserve">Specification is rule-based; judging representativeness is not.</t>
  </si>
  <si>
    <t xml:space="preserve">Request extension of the Document Knowledge Engine for new types</t>
  </si>
  <si>
    <t xml:space="preserve">Imaging Governance</t>
  </si>
  <si>
    <t xml:space="preserve">Raising the request with the samples and context required</t>
  </si>
  <si>
    <t xml:space="preserve">The request can be automated; modifying the engine is the governance team's authority and must stay with them.</t>
  </si>
  <si>
    <t xml:space="preserve">Track a knowledge engine update through to model availability</t>
  </si>
  <si>
    <t xml:space="preserve">Imaging Governance; iDocs team</t>
  </si>
  <si>
    <t xml:space="preserve">Tracking the change to the point the trained model reflects it, and blocking dependent work until it does</t>
  </si>
  <si>
    <t xml:space="preserve">Status tracking. Today a stale model looks exactly like a configuration defect and teams lose days diagnosing it.</t>
  </si>
  <si>
    <t xml:space="preserve">Support classification profile development</t>
  </si>
  <si>
    <t xml:space="preserve">Retain as human work</t>
  </si>
  <si>
    <t xml:space="preserve">Supplying samples and the registered classification position</t>
  </si>
  <si>
    <t xml:space="preserve">Profile development is specialist design work against a trained model.</t>
  </si>
  <si>
    <t xml:space="preserve">Engage the human-in-the-loop review team</t>
  </si>
  <si>
    <t xml:space="preserve">IRM team</t>
  </si>
  <si>
    <t xml:space="preserve">Initiating the engagement with the expected review volume</t>
  </si>
  <si>
    <t xml:space="preserve">Fixed engagement initiation with a derived volume estimate.</t>
  </si>
  <si>
    <t xml:space="preserve">Design pre-capture and post-capture profiles</t>
  </si>
  <si>
    <t xml:space="preserve">Supplying the content profile and governance position</t>
  </si>
  <si>
    <t xml:space="preserve">Specialist design work governing what happens around human review.</t>
  </si>
  <si>
    <t xml:space="preserve">Content — both paths</t>
  </si>
  <si>
    <t xml:space="preserve">Route newly introduced document types back to governance</t>
  </si>
  <si>
    <t xml:space="preserve">Detecting a new type and routing it for a fresh decision rather than letting it inherit an existing one</t>
  </si>
  <si>
    <t xml:space="preserve">Detection is mechanical; today a new type can silently inherit the wrong classification.</t>
  </si>
  <si>
    <t xml:space="preserve">Develop the trusted and untrusted platform profiles</t>
  </si>
  <si>
    <t xml:space="preserve">Engineering</t>
  </si>
  <si>
    <t xml:space="preserve">Validating the configurations are complete and mutually consistent</t>
  </si>
  <si>
    <t xml:space="preserve">Profile development is platform engineering work.</t>
  </si>
  <si>
    <t xml:space="preserve">Records management</t>
  </si>
  <si>
    <t xml:space="preserve">Gather retention requirements from the business</t>
  </si>
  <si>
    <t xml:space="preserve">Business owner; Records Management</t>
  </si>
  <si>
    <t xml:space="preserve">Structuring the conversation and capturing the outcome</t>
  </si>
  <si>
    <t xml:space="preserve">Retention is a business obligation that must be stated by the accountable owner.</t>
  </si>
  <si>
    <t xml:space="preserve">Draft the records management onboarding questionnaire</t>
  </si>
  <si>
    <t xml:space="preserve">Records Management team</t>
  </si>
  <si>
    <t xml:space="preserve">Generating the draft from the captured requirements</t>
  </si>
  <si>
    <t xml:space="preserve">Generation from structured input into a fixed format.</t>
  </si>
  <si>
    <t xml:space="preserve">Track the questionnaire through review and approval</t>
  </si>
  <si>
    <t xml:space="preserve">Tracking status and surfacing it as a gate</t>
  </si>
  <si>
    <t xml:space="preserve">Status tracking and gate enforcement.</t>
  </si>
  <si>
    <t xml:space="preserve">Hand off retention implementation</t>
  </si>
  <si>
    <t xml:space="preserve">Preparing and transmitting the implementation handoff</t>
  </si>
  <si>
    <t xml:space="preserve">Mechanical handoff of an approved artefact.</t>
  </si>
  <si>
    <t xml:space="preserve">Advise on retention code, period and regulated storage</t>
  </si>
  <si>
    <t xml:space="preserve">Returning the applicable code and period for the document classes in scope</t>
  </si>
  <si>
    <t xml:space="preserve">The advisory is rule-based; confirming it against the regulatory position is an RM responsibility.</t>
  </si>
  <si>
    <t xml:space="preserve">Metadata &amp; retrieval</t>
  </si>
  <si>
    <t xml:space="preserve">Facilitate metadata discovery workshops</t>
  </si>
  <si>
    <t xml:space="preserve">Business users; architects</t>
  </si>
  <si>
    <t xml:space="preserve">Structuring the agenda and capturing outcomes</t>
  </si>
  <si>
    <t xml:space="preserve">Metadata design is elicitation work with business users and cannot be scripted.</t>
  </si>
  <si>
    <t xml:space="preserve">Define search filters and retrieval requirements</t>
  </si>
  <si>
    <t xml:space="preserve">Proposing filters against the stated audit and retrieval needs</t>
  </si>
  <si>
    <t xml:space="preserve">Proposal is derivable; confirming what the business will actually search on is not.</t>
  </si>
  <si>
    <t xml:space="preserve">Identify security keys, legal entity and organisational mappings</t>
  </si>
  <si>
    <t xml:space="preserve">Architects; security</t>
  </si>
  <si>
    <t xml:space="preserve">Surfacing the required mapping set and checking completeness</t>
  </si>
  <si>
    <t xml:space="preserve">Mappings are a security control; assignment needs a person.</t>
  </si>
  <si>
    <t xml:space="preserve">Complete repository onboarding and metadata mapping</t>
  </si>
  <si>
    <t xml:space="preserve">Validating completeness of the mapping against the agreed design</t>
  </si>
  <si>
    <t xml:space="preserve">Configuration is engineering work; validation can be automated.</t>
  </si>
  <si>
    <t xml:space="preserve">Enable search and view APIs</t>
  </si>
  <si>
    <t xml:space="preserve">Enabling and validating API access for the partner</t>
  </si>
  <si>
    <t xml:space="preserve">Mechanical enablement against a known configuration.</t>
  </si>
  <si>
    <t xml:space="preserve">Evaluate and configure viewer integration</t>
  </si>
  <si>
    <t xml:space="preserve">Engineering; partner team</t>
  </si>
  <si>
    <t xml:space="preserve">Supplying integration options and validating the configuration</t>
  </si>
  <si>
    <t xml:space="preserve">Integration choice depends on the partner's own front end.</t>
  </si>
  <si>
    <t xml:space="preserve">Provision access for business, audit and operational users</t>
  </si>
  <si>
    <t xml:space="preserve">Access tooling; identity management; business users</t>
  </si>
  <si>
    <t xml:space="preserve">Raising and tracking the provisioning requests</t>
  </si>
  <si>
    <t xml:space="preserve">Mechanical once the user list is known.</t>
  </si>
  <si>
    <t xml:space="preserve">Deliver the user interface demonstration</t>
  </si>
  <si>
    <t xml:space="preserve">Business users; UI team</t>
  </si>
  <si>
    <t xml:space="preserve">Assembling the demonstration content</t>
  </si>
  <si>
    <t xml:space="preserve">A live demonstration answering questions in the room; adoption depends on it.</t>
  </si>
  <si>
    <t xml:space="preserve">Produce user manuals</t>
  </si>
  <si>
    <t xml:space="preserve">UI team; partner team</t>
  </si>
  <si>
    <t xml:space="preserve">Generating the partner-specific manual from the configured capabilities</t>
  </si>
  <si>
    <t xml:space="preserve">Generation from known configuration into a fixed format.</t>
  </si>
  <si>
    <t xml:space="preserve">Deliver user training</t>
  </si>
  <si>
    <t xml:space="preserve">Business users</t>
  </si>
  <si>
    <t xml:space="preserve">Supplying materials only</t>
  </si>
  <si>
    <t xml:space="preserve">Training is interactive and adapts to the audience.</t>
  </si>
  <si>
    <t xml:space="preserve">Testing</t>
  </si>
  <si>
    <t xml:space="preserve">Assemble the integration test plan</t>
  </si>
  <si>
    <t xml:space="preserve">Engineering; partner team; specialist teams</t>
  </si>
  <si>
    <t xml:space="preserve">Generating the plan across every integration touchpoint in scope</t>
  </si>
  <si>
    <t xml:space="preserve">Plan assembly from a known touchpoint set.</t>
  </si>
  <si>
    <t xml:space="preserve">Design end-to-end reconciliation test scenarios</t>
  </si>
  <si>
    <t xml:space="preserve">Partner team; engineering</t>
  </si>
  <si>
    <t xml:space="preserve">Proposing scenarios covering success and failure paths</t>
  </si>
  <si>
    <t xml:space="preserve">Scenario design depends on the partner's reconciliation logic.</t>
  </si>
  <si>
    <t xml:space="preserve">Assemble the UAT plan and track sign-off</t>
  </si>
  <si>
    <t xml:space="preserve">Business users; partner team</t>
  </si>
  <si>
    <t xml:space="preserve">Generating the plan against the objectives stated at intake and tracking sign-off</t>
  </si>
  <si>
    <t xml:space="preserve">Closes the loop back to intake automatically — a link currently maintained by memory.</t>
  </si>
  <si>
    <t xml:space="preserve">Detect configuration conflicts between independently configured systems</t>
  </si>
  <si>
    <t xml:space="preserve">Engineering; specialist teams</t>
  </si>
  <si>
    <t xml:space="preserve">Comparing configurations across systems and reporting incompatible assumptions</t>
  </si>
  <si>
    <t xml:space="preserve">Mechanical comparison. Today these surface during integration testing at far higher cost.</t>
  </si>
  <si>
    <t xml:space="preserve">Triage and route defects</t>
  </si>
  <si>
    <t xml:space="preserve">Classifying the defect and routing it with the context needed to act</t>
  </si>
  <si>
    <t xml:space="preserve">Classification is rule-based; disputed or cross-boundary defects need a person.</t>
  </si>
  <si>
    <t xml:space="preserve">Broker resolution between partner and engineering</t>
  </si>
  <si>
    <t xml:space="preserve">Tracking the item and its ageing</t>
  </si>
  <si>
    <t xml:space="preserve">Brokering is negotiation across organisational boundaries and is a stated responsibility of the role.</t>
  </si>
  <si>
    <t xml:space="preserve">Support load test execution and interpret results</t>
  </si>
  <si>
    <t xml:space="preserve">SPLI team; engineering</t>
  </si>
  <si>
    <t xml:space="preserve">Collating results against the volume profile</t>
  </si>
  <si>
    <t xml:space="preserve">Interpretation and the resulting design decisions are engineering judgement.</t>
  </si>
  <si>
    <t xml:space="preserve">Run production readiness validation</t>
  </si>
  <si>
    <t xml:space="preserve">Engineering; Platform Support</t>
  </si>
  <si>
    <t xml:space="preserve">Running the checklist and reporting gaps</t>
  </si>
  <si>
    <t xml:space="preserve">Checklist execution against documented criteria.</t>
  </si>
  <si>
    <t xml:space="preserve">Environment progression</t>
  </si>
  <si>
    <t xml:space="preserve">Check promotion gates for the target environment</t>
  </si>
  <si>
    <t xml:space="preserve">Checking every gate and blocking promotion where one is unmet</t>
  </si>
  <si>
    <t xml:space="preserve">Binary gate checking. Today this depends on someone remembering every gate.</t>
  </si>
  <si>
    <t xml:space="preserve">Enforce the fixed promotion ladder</t>
  </si>
  <si>
    <t xml:space="preserve">Refusing skip requests and explaining what the skipped environment validates</t>
  </si>
  <si>
    <t xml:space="preserve">A fixed rule, occasionally bypassed under schedule pressure.</t>
  </si>
  <si>
    <t xml:space="preserve">Validate the correct environment service account is in use</t>
  </si>
  <si>
    <t xml:space="preserve">Validating the account before promotion</t>
  </si>
  <si>
    <t xml:space="preserve">Mechanical validation. Today the failure appears late and is hard to diagnose.</t>
  </si>
  <si>
    <t xml:space="preserve">Apply the constraint where no delivery team is allocated</t>
  </si>
  <si>
    <t xml:space="preserve">Enabling teams</t>
  </si>
  <si>
    <t xml:space="preserve">Checking allocation and applying the first-environment-only constraint</t>
  </si>
  <si>
    <t xml:space="preserve">A documented constraint applied by recall today.</t>
  </si>
  <si>
    <t xml:space="preserve">Documentation</t>
  </si>
  <si>
    <t xml:space="preserve">Produce technical design documentation and technology notes</t>
  </si>
  <si>
    <t xml:space="preserve">Architects; Platform Support</t>
  </si>
  <si>
    <t xml:space="preserve">Generating the draft from the onboarding record</t>
  </si>
  <si>
    <t xml:space="preserve">The draft is assembly; the design rationale needs an architect.</t>
  </si>
  <si>
    <t xml:space="preserve">Produce operational runbooks</t>
  </si>
  <si>
    <t xml:space="preserve">Platform Support; engineering</t>
  </si>
  <si>
    <t xml:space="preserve">Generating the runbook from the configuration record</t>
  </si>
  <si>
    <t xml:space="preserve">Generation covers the known configuration; operational edge cases need experience.</t>
  </si>
  <si>
    <t xml:space="preserve">Track technical and business validation sign-offs</t>
  </si>
  <si>
    <t xml:space="preserve">Engineering; business users</t>
  </si>
  <si>
    <t xml:space="preserve">Tracking outstanding approvals and surfacing them as gates</t>
  </si>
  <si>
    <t xml:space="preserve">Status tracking.</t>
  </si>
  <si>
    <t xml:space="preserve">9 Partner Live</t>
  </si>
  <si>
    <t xml:space="preserve">Release readiness</t>
  </si>
  <si>
    <t xml:space="preserve">Create the Release Transition page</t>
  </si>
  <si>
    <t xml:space="preserve">Platform Support; Delivery Management; Cloud and Hosting Engineering</t>
  </si>
  <si>
    <t xml:space="preserve">Generating the page from the onboarding record, populating each support team's section</t>
  </si>
  <si>
    <t xml:space="preserve">The page is assembly of information already captured across the lifecycle. Authoring it by hand is the single largest clerical task in the process.</t>
  </si>
  <si>
    <t xml:space="preserve">Check the transition page against what each support team needs</t>
  </si>
  <si>
    <t xml:space="preserve">Completeness checking and gap reporting</t>
  </si>
  <si>
    <t xml:space="preserve">Checking against a documented requirement set. Gaps here become support incidents.</t>
  </si>
  <si>
    <t xml:space="preserve">Confirm UAT sign-off</t>
  </si>
  <si>
    <t xml:space="preserve">Confirming sign-off status and blocking where outstanding</t>
  </si>
  <si>
    <t xml:space="preserve">Status confirmation.</t>
  </si>
  <si>
    <t xml:space="preserve">Confirm production support readiness</t>
  </si>
  <si>
    <t xml:space="preserve">Platform Support</t>
  </si>
  <si>
    <t xml:space="preserve">Walking the readiness checklist and tracking completion</t>
  </si>
  <si>
    <t xml:space="preserve">Support's acceptance of a new service is their own decision.</t>
  </si>
  <si>
    <t xml:space="preserve">Track technical, business and go-live sign-offs</t>
  </si>
  <si>
    <t xml:space="preserve">Named sign-off holders</t>
  </si>
  <si>
    <t xml:space="preserve">Tracking outstanding approvals and blocking progression without them</t>
  </si>
  <si>
    <t xml:space="preserve">Authorise go-live</t>
  </si>
  <si>
    <t xml:space="preserve">Presenting the evidence that the sign-offs rest on</t>
  </si>
  <si>
    <t xml:space="preserve">Authorisation carries accountability for a production change and must stay with a named approver.</t>
  </si>
  <si>
    <t xml:space="preserve">Release</t>
  </si>
  <si>
    <t xml:space="preserve">Assemble the deployment validation call brief</t>
  </si>
  <si>
    <t xml:space="preserve">Generating the brief covering what was deployed, what to check and what failure looks like</t>
  </si>
  <si>
    <t xml:space="preserve">Assembly from the deployment record.</t>
  </si>
  <si>
    <t xml:space="preserve">Assemble the release-night runbook</t>
  </si>
  <si>
    <t xml:space="preserve">Assembly from known configuration.</t>
  </si>
  <si>
    <t xml:space="preserve">Support release-night and implementation activities</t>
  </si>
  <si>
    <t xml:space="preserve">Engineering; partner team; release management</t>
  </si>
  <si>
    <t xml:space="preserve">Supplying the runbook and the configuration record</t>
  </si>
  <si>
    <t xml:space="preserve">Issues at release night need someone who knows the configuration and can decide in minutes.</t>
  </si>
  <si>
    <t xml:space="preserve">Attend the deployment validation call</t>
  </si>
  <si>
    <t xml:space="preserve">Platform Support; engineering; partner team</t>
  </si>
  <si>
    <t xml:space="preserve">Supplying the brief</t>
  </si>
  <si>
    <t xml:space="preserve">Production-specific failures are diagnosable in minutes by the people who built the configuration — but only if they are present.</t>
  </si>
  <si>
    <t xml:space="preserve">Verify the final production call</t>
  </si>
  <si>
    <t xml:space="preserve">Platform Support; partner team</t>
  </si>
  <si>
    <t xml:space="preserve">Supplying the validation checklist</t>
  </si>
  <si>
    <t xml:space="preserve">Final confirmation that the solution operates as expected carries accountability.</t>
  </si>
  <si>
    <t xml:space="preserve">Handover</t>
  </si>
  <si>
    <t xml:space="preserve">Assemble the Platform Support handover pack</t>
  </si>
  <si>
    <t xml:space="preserve">Generating the pack from the onboarding record</t>
  </si>
  <si>
    <t xml:space="preserve">Assembly of existing content.</t>
  </si>
  <si>
    <t xml:space="preserve">Complete the handover and confirm acceptance</t>
  </si>
  <si>
    <t xml:space="preserve">Platform Support; Delivery Management</t>
  </si>
  <si>
    <t xml:space="preserve">Assembling the pack and tracking acceptance</t>
  </si>
  <si>
    <t xml:space="preserve">Acceptance is support's decision and usually involves a walkthrough.</t>
  </si>
  <si>
    <t xml:space="preserve">Run post-go-live validation</t>
  </si>
  <si>
    <t xml:space="preserve">Running the checklist and reporting results</t>
  </si>
  <si>
    <t xml:space="preserve">Checklist execution can be automated; confirming business outcomes needs the partner.</t>
  </si>
  <si>
    <t xml:space="preserve">Cross-cutting</t>
  </si>
  <si>
    <t xml:space="preserve">Status &amp; reporting</t>
  </si>
  <si>
    <t xml:space="preserve">Maintain the end-to-end onboarding status view</t>
  </si>
  <si>
    <t xml:space="preserve">All teams; leadership</t>
  </si>
  <si>
    <t xml:space="preserve">A live view of state across all nine stages with outstanding items and owners</t>
  </si>
  <si>
    <t xml:space="preserve">Today this exists only in one person's head and in scattered trackers.</t>
  </si>
  <si>
    <t xml:space="preserve">Report stage dwell time and bottlenecks across active onboardings</t>
  </si>
  <si>
    <t xml:space="preserve">Leadership; ECM product management</t>
  </si>
  <si>
    <t xml:space="preserve">Ageing and bottleneck reporting across the portfolio</t>
  </si>
  <si>
    <t xml:space="preserve">Measurement that is not currently possible at all, and is the prerequisite for any benefits claim.</t>
  </si>
  <si>
    <t xml:space="preserve">Coordination</t>
  </si>
  <si>
    <t xml:space="preserve">Notify and chase stakeholders on raised, blocked, approved or overdue items</t>
  </si>
  <si>
    <t xml:space="preserve">All teams</t>
  </si>
  <si>
    <t xml:space="preserve">Automatic notification and escalation by item type and ageing</t>
  </si>
  <si>
    <t xml:space="preserve">Pure follow-up discipline, currently dependent on one person's memory.</t>
  </si>
  <si>
    <t xml:space="preserve">Advise on the escalation path for a blocked item</t>
  </si>
  <si>
    <t xml:space="preserve">Leadership; team leads</t>
  </si>
  <si>
    <t xml:space="preserve">Returning the escalation path by item type and ageing</t>
  </si>
  <si>
    <t xml:space="preserve">Documented reference knowledge.</t>
  </si>
  <si>
    <t xml:space="preserve">Record keeping</t>
  </si>
  <si>
    <t xml:space="preserve">Maintain the index of onboarding artefacts and their status</t>
  </si>
  <si>
    <t xml:space="preserve">All teams; audit</t>
  </si>
  <si>
    <t xml:space="preserve">Maintaining the index across agreement, questionnaire, trackers, transition page and sign-offs</t>
  </si>
  <si>
    <t xml:space="preserve">Capture the audit trail of actions, approvals and decisions</t>
  </si>
  <si>
    <t xml:space="preserve">Audit; governance; security</t>
  </si>
  <si>
    <t xml:space="preserve">Recording every action, the rule that authorised it and the human who approved it</t>
  </si>
  <si>
    <t xml:space="preserve">Produces a defensible history that does not reliably exist today.</t>
  </si>
  <si>
    <t xml:space="preserve">Knowledge</t>
  </si>
  <si>
    <t xml:space="preserve">Surface precedent from comparable prior onboardings</t>
  </si>
  <si>
    <t xml:space="preserve">Surfacing prior onboardings with a comparable profile and what was decided</t>
  </si>
  <si>
    <t xml:space="preserve">Retrieval against a growing record. Today precedent is reused only if someone remembers it.</t>
  </si>
  <si>
    <t xml:space="preserve">Act as subject-matter expert for partner questions</t>
  </si>
  <si>
    <t xml:space="preserve">Answering documented and procedural questions directly</t>
  </si>
  <si>
    <t xml:space="preserve">Documented questions can be answered automatically; novel or contested questions need the SME.</t>
  </si>
  <si>
    <t xml:space="preserve">Relationship</t>
  </si>
  <si>
    <t xml:space="preserve">Manage the partner relationship and set expectations</t>
  </si>
  <si>
    <t xml:space="preserve">Partner / application team; business sponsor</t>
  </si>
  <si>
    <t xml:space="preserve">Supplying status and evidence</t>
  </si>
  <si>
    <t xml:space="preserve">The ambassador role exists to reconcile the partner's delivery goals with enterprise content standards. That reconciliation is relationship work.</t>
  </si>
  <si>
    <t xml:space="preserve">Adapt the approach where an onboarding does not fit the standard pattern</t>
  </si>
  <si>
    <t xml:space="preserve">Flagging the deviation from the standard pattern</t>
  </si>
  <si>
    <t xml:space="preserve">Exception handling requires judgement about which rules can safely bend.</t>
  </si>
  <si>
    <t xml:space="preserve">Automation Assessment — Summary (Development &amp; Delivery, Partner Live, Cross-cutting)</t>
  </si>
  <si>
    <t xml:space="preserve">All counts are formulas over the Master Activity List. They update automatically if rows are added, changed or re-assessed.</t>
  </si>
  <si>
    <t xml:space="preserve">By verdict</t>
  </si>
  <si>
    <t xml:space="preserve">Verdict</t>
  </si>
  <si>
    <t xml:space="preserve">Activities</t>
  </si>
  <si>
    <t xml:space="preserve">% of total</t>
  </si>
  <si>
    <t xml:space="preserve">Total</t>
  </si>
  <si>
    <t xml:space="preserve">By stage</t>
  </si>
  <si>
    <t xml:space="preserve">% automatable or assisted</t>
  </si>
  <si>
    <t xml:space="preserve">What the numbers mean</t>
  </si>
  <si>
    <t xml:space="preserve">• This sheet covers the back half of the onboarding lifecycle — Development &amp; Delivery, Partner Live, and the cross-cutting activities that run throughout. It is where the bulk of the Partner Onboarding Resource's effort sits.</t>
  </si>
  <si>
    <t xml:space="preserve">• The activities that must stay human are concentrated in three places: governance decisions on content classification, authorisation and acceptance, and live sessions where people need to be in the room — release night, the deployment validation call, demonstrations and training.</t>
  </si>
  <si>
    <t xml:space="preserve">• The activities that can be automated in full are concentrated in request raising and routing, status tracking, gate enforcement, tracker maintenance and document generation. These are the tasks that currently compete with delivery work for the same person's attention.</t>
  </si>
  <si>
    <t xml:space="preserve">• Almost everything in the 'Assist' column follows one pattern: a system can prepare, draft, route or track, but a named person completes the step or owns the decision.</t>
  </si>
  <si>
    <t xml:space="preserve">• No activity was assessed as automatable where getting it wrong would carry regulatory, security or contractual consequence without a human in the path.</t>
  </si>
  <si>
    <t xml:space="preserve">• This assessment describes what is possible. It does not claim a time saving — that requires a measured baseline of effort and elapsed time per stage, which does not exist today.</t>
  </si>
  <si>
    <t xml:space="preserve">Teams and Personas Referenced in the Master List</t>
  </si>
  <si>
    <t xml:space="preserve">Who the Partner Onboarding Resource works with, and what each is accountable for.</t>
  </si>
  <si>
    <t xml:space="preserve">Team / Persona</t>
  </si>
  <si>
    <t xml:space="preserve">Category</t>
  </si>
  <si>
    <t xml:space="preserve">Accountable for</t>
  </si>
  <si>
    <t xml:space="preserve">Partner side</t>
  </si>
  <si>
    <t xml:space="preserve">Submits the request, completes the Definition of Ready workbook, supplies document samples, builds the integration and runs acceptance testing.</t>
  </si>
  <si>
    <t xml:space="preserve">Business sponsor / business users</t>
  </si>
  <si>
    <t xml:space="preserve">States the business objective and the retention obligation, performs acceptance testing, consumes search and retrieval.</t>
  </si>
  <si>
    <t xml:space="preserve">ECM intake team (L4 / L3 product managers)</t>
  </si>
  <si>
    <t xml:space="preserve">ECM product</t>
  </si>
  <si>
    <t xml:space="preserve">Validates intake completeness, opens the triage state, identifies discovery participants, raises the epic and runs planning.</t>
  </si>
  <si>
    <t xml:space="preserve">Triage leads</t>
  </si>
  <si>
    <t xml:space="preserve">Derive and apply area and impact labels, drive the triage state machine, manage the follow-up loop.</t>
  </si>
  <si>
    <t xml:space="preserve">Product owners and architects</t>
  </si>
  <si>
    <t xml:space="preserve">Own the scope outcome at discovery, assess architecture impact and delivery complexity, design the solution.</t>
  </si>
  <si>
    <t xml:space="preserve">LOB sponsor and liaisons</t>
  </si>
  <si>
    <t xml:space="preserve">Business</t>
  </si>
  <si>
    <t xml:space="preserve">Rank the demand within the Line of Business portfolio against value, regulatory impact, risk and strategic alignment.</t>
  </si>
  <si>
    <t xml:space="preserve">Governance</t>
  </si>
  <si>
    <t xml:space="preserve">Determines trusted versus untrusted by viewing documents on the flow; allocates document category, type and subtype for trusted content; maintains the knowledge engine that governs classification of untrusted content.</t>
  </si>
  <si>
    <t xml:space="preserve">Engineering and enabling teams</t>
  </si>
  <si>
    <t xml:space="preserve">Delivery</t>
  </si>
  <si>
    <t xml:space="preserve">Return the capacity commitment, build and configure the solution, execute testing and promote through environments.</t>
  </si>
  <si>
    <t xml:space="preserve">Operations</t>
  </si>
  <si>
    <t xml:space="preserve">Accepts the production handover and operates the solution in business as usual.</t>
  </si>
  <si>
    <t xml:space="preserve">Delivery Management</t>
  </si>
  <si>
    <t xml:space="preserve">Receives the Release Transition information relevant to delivery oversight.</t>
  </si>
  <si>
    <t xml:space="preserve">Cloud and Hosting Engineering</t>
  </si>
  <si>
    <t xml:space="preserve">Receives the Release Transition information relevant to hosting and infrastructure.</t>
  </si>
  <si>
    <t xml:space="preserve">Records Management</t>
  </si>
  <si>
    <t xml:space="preserve">Specialist</t>
  </si>
  <si>
    <t xml:space="preserve">Reviews and approves the retention questionnaire, configures retention schedules, destruction policies and regulated storage.</t>
  </si>
  <si>
    <t xml:space="preserve">Classification team (iDocs)</t>
  </si>
  <si>
    <t xml:space="preserve">Operates AI classification of untrusted content against the model trained from the governance-maintained knowledge engine.</t>
  </si>
  <si>
    <t xml:space="preserve">Human-in-the-loop review team (IRM)</t>
  </si>
  <si>
    <t xml:space="preserve">Performs human validation where AI classification cannot confirm; operates pre-capture and post-capture workflows.</t>
  </si>
  <si>
    <t xml:space="preserve">Virus scanning (DCT)</t>
  </si>
  <si>
    <t xml:space="preserve">Scans all untrusted content before it reaches the platform.</t>
  </si>
  <si>
    <t xml:space="preserve">Kafka enablement (KEES)</t>
  </si>
  <si>
    <t xml:space="preserve">Onboards the partner to the event framework, creates consumer groups and enables ingestion notifications.</t>
  </si>
  <si>
    <t xml:space="preserve">Gateway team (Apigee)</t>
  </si>
  <si>
    <t xml:space="preserve">Onboards the partner application to the marketplace and approves API subscriptions.</t>
  </si>
  <si>
    <t xml:space="preserve">Load testing team (SPLI)</t>
  </si>
  <si>
    <t xml:space="preserve">Conducts volume-driven performance and load validation and issues the associated approvals.</t>
  </si>
  <si>
    <t xml:space="preserve">Own system and user security analysis, access approval and the access routing rules.</t>
  </si>
  <si>
    <t xml:space="preserve">Network team</t>
  </si>
  <si>
    <t xml:space="preserve">Opens connectivity from the partner zone to platform services.</t>
  </si>
  <si>
    <t xml:space="preserve">Certificate management</t>
  </si>
  <si>
    <t xml:space="preserve">Issues and renews certificates for secure service-to-service communication.</t>
  </si>
  <si>
    <t xml:space="preserve">Identity and access management</t>
  </si>
  <si>
    <t xml:space="preserve">Processes access requests for service accounts and human users across environments.</t>
  </si>
  <si>
    <t xml:space="preserve">UI team</t>
  </si>
  <si>
    <t xml:space="preserve">Supports user interface demonstration, training and user manual production.</t>
  </si>
  <si>
    <t xml:space="preserve">Provide technical, business and go-live authorisation.</t>
  </si>
  <si>
    <t xml:space="preserve">Audit and governance</t>
  </si>
  <si>
    <t xml:space="preserve">Rely on the retention configuration, the artefact record and the audit trail.</t>
  </si>
</sst>
</file>

<file path=xl/styles.xml><?xml version="1.0" encoding="utf-8"?>
<styleSheet xmlns="http://schemas.openxmlformats.org/spreadsheetml/2006/main">
  <numFmts count="3">
    <numFmt numFmtId="164" formatCode="General"/>
    <numFmt numFmtId="165" formatCode="General"/>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5"/>
      <color rgb="FF1E2761"/>
      <name val="Arial"/>
      <family val="0"/>
      <charset val="1"/>
    </font>
    <font>
      <sz val="9"/>
      <color rgb="FF5A6472"/>
      <name val="Arial"/>
      <family val="0"/>
      <charset val="1"/>
    </font>
    <font>
      <i val="true"/>
      <sz val="9"/>
      <color rgb="FF5A6472"/>
      <name val="Arial"/>
      <family val="0"/>
      <charset val="1"/>
    </font>
    <font>
      <b val="true"/>
      <sz val="10"/>
      <color rgb="FFFFFFFF"/>
      <name val="Arial"/>
      <family val="0"/>
      <charset val="1"/>
    </font>
    <font>
      <sz val="9"/>
      <color rgb="FF1B2432"/>
      <name val="Arial"/>
      <family val="0"/>
      <charset val="1"/>
    </font>
    <font>
      <b val="true"/>
      <sz val="9"/>
      <color rgb="FF1F5C35"/>
      <name val="Arial"/>
      <family val="0"/>
      <charset val="1"/>
    </font>
    <font>
      <b val="true"/>
      <sz val="9"/>
      <color rgb="FF8A5A12"/>
      <name val="Arial"/>
      <family val="0"/>
      <charset val="1"/>
    </font>
    <font>
      <b val="true"/>
      <sz val="9"/>
      <color rgb="FF8C2F2F"/>
      <name val="Arial"/>
      <family val="0"/>
      <charset val="1"/>
    </font>
    <font>
      <sz val="10"/>
      <name val="Arial"/>
      <family val="2"/>
    </font>
    <font>
      <b val="true"/>
      <sz val="11"/>
      <color rgb="FF1E2761"/>
      <name val="Arial"/>
      <family val="0"/>
      <charset val="1"/>
    </font>
    <font>
      <b val="true"/>
      <sz val="10"/>
      <color rgb="FF1F5C35"/>
      <name val="Arial"/>
      <family val="0"/>
      <charset val="1"/>
    </font>
    <font>
      <b val="true"/>
      <sz val="10"/>
      <color rgb="FF8A5A12"/>
      <name val="Arial"/>
      <family val="0"/>
      <charset val="1"/>
    </font>
    <font>
      <b val="true"/>
      <sz val="10"/>
      <color rgb="FF8C2F2F"/>
      <name val="Arial"/>
      <family val="0"/>
      <charset val="1"/>
    </font>
    <font>
      <b val="true"/>
      <sz val="10"/>
      <color rgb="FF1B2432"/>
      <name val="Arial"/>
      <family val="0"/>
      <charset val="1"/>
    </font>
    <font>
      <b val="true"/>
      <sz val="10"/>
      <name val="Arial"/>
      <family val="0"/>
      <charset val="1"/>
    </font>
    <font>
      <sz val="9.5"/>
      <color rgb="FF1B2432"/>
      <name val="Arial"/>
      <family val="0"/>
      <charset val="1"/>
    </font>
    <font>
      <b val="true"/>
      <sz val="9"/>
      <color rgb="FF1B2432"/>
      <name val="Arial"/>
      <family val="0"/>
      <charset val="1"/>
    </font>
  </fonts>
  <fills count="9">
    <fill>
      <patternFill patternType="none"/>
    </fill>
    <fill>
      <patternFill patternType="gray125"/>
    </fill>
    <fill>
      <patternFill patternType="solid">
        <fgColor rgb="FF1E2761"/>
        <bgColor rgb="FF1B2432"/>
      </patternFill>
    </fill>
    <fill>
      <patternFill patternType="solid">
        <fgColor rgb="FFE3F0E7"/>
        <bgColor rgb="FFE8EBF2"/>
      </patternFill>
    </fill>
    <fill>
      <patternFill patternType="solid">
        <fgColor rgb="FFFFF6D6"/>
        <bgColor rgb="FFFBF0DC"/>
      </patternFill>
    </fill>
    <fill>
      <patternFill patternType="solid">
        <fgColor rgb="FFF4F6FA"/>
        <bgColor rgb="FFFFFFFF"/>
      </patternFill>
    </fill>
    <fill>
      <patternFill patternType="solid">
        <fgColor rgb="FFFBF0DC"/>
        <bgColor rgb="FFFFF6D6"/>
      </patternFill>
    </fill>
    <fill>
      <patternFill patternType="solid">
        <fgColor rgb="FFF6E7E7"/>
        <bgColor rgb="FFFBF0DC"/>
      </patternFill>
    </fill>
    <fill>
      <patternFill patternType="solid">
        <fgColor rgb="FFE8EBF2"/>
        <bgColor rgb="FFE3F0E7"/>
      </patternFill>
    </fill>
  </fills>
  <borders count="2">
    <border diagonalUp="false" diagonalDown="false">
      <left/>
      <right/>
      <top/>
      <bottom/>
      <diagonal/>
    </border>
    <border diagonalUp="false" diagonalDown="false">
      <left style="thin">
        <color rgb="FFD0D6E0"/>
      </left>
      <right style="thin">
        <color rgb="FFD0D6E0"/>
      </right>
      <top style="thin">
        <color rgb="FFD0D6E0"/>
      </top>
      <bottom style="thin">
        <color rgb="FFD0D6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16" fillId="7" borderId="1" xfId="0" applyFont="true" applyBorder="true" applyAlignment="false" applyProtection="false">
      <alignment horizontal="general" vertical="bottom" textRotation="0" wrapText="false" indent="0" shrinkToFit="false"/>
      <protection locked="true" hidden="false"/>
    </xf>
    <xf numFmtId="164" fontId="17" fillId="8" borderId="1" xfId="0" applyFont="true" applyBorder="true" applyAlignment="false" applyProtection="false">
      <alignment horizontal="general" vertical="bottom" textRotation="0" wrapText="false" indent="0" shrinkToFit="false"/>
      <protection locked="true" hidden="false"/>
    </xf>
    <xf numFmtId="165" fontId="18" fillId="8" borderId="1" xfId="0" applyFont="true" applyBorder="true" applyAlignment="false" applyProtection="false">
      <alignment horizontal="general" vertical="bottom" textRotation="0" wrapText="false" indent="0" shrinkToFit="false"/>
      <protection locked="true" hidden="false"/>
    </xf>
    <xf numFmtId="166" fontId="0" fillId="8" borderId="1" xfId="0" applyFont="fals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E2761"/>
          <bgColor rgb="FF000000"/>
        </patternFill>
      </fill>
    </dxf>
    <dxf>
      <fill>
        <patternFill patternType="solid">
          <fgColor rgb="FFF4F6FA"/>
          <bgColor rgb="FF000000"/>
        </patternFill>
      </fill>
    </dxf>
    <dxf>
      <fill>
        <patternFill patternType="solid">
          <bgColor rgb="FF000000"/>
        </patternFill>
      </fill>
    </dxf>
    <dxf>
      <fill>
        <patternFill patternType="solid">
          <fgColor rgb="FF1B2432"/>
          <bgColor rgb="FF000000"/>
        </patternFill>
      </fill>
    </dxf>
    <dxf>
      <fill>
        <patternFill patternType="solid">
          <fgColor rgb="FFFFFFFF"/>
          <bgColor rgb="FF000000"/>
        </patternFill>
      </fill>
    </dxf>
    <dxf>
      <fill>
        <patternFill patternType="solid">
          <fgColor rgb="FFE3F0E7"/>
          <bgColor rgb="FF000000"/>
        </patternFill>
      </fill>
    </dxf>
    <dxf>
      <fill>
        <patternFill patternType="solid">
          <fgColor rgb="FFF6E7E7"/>
          <bgColor rgb="FF000000"/>
        </patternFill>
      </fill>
    </dxf>
    <dxf>
      <fill>
        <patternFill patternType="solid">
          <fgColor rgb="FFFBF0DC"/>
          <bgColor rgb="FF000000"/>
        </patternFill>
      </fill>
    </dxf>
    <dxf>
      <fill>
        <patternFill patternType="solid">
          <fgColor rgb="FF1F5C35"/>
          <bgColor rgb="FF000000"/>
        </patternFill>
      </fill>
    </dxf>
    <dxf>
      <fill>
        <patternFill patternType="solid">
          <fgColor rgb="FF8A5A12"/>
          <bgColor rgb="FF000000"/>
        </patternFill>
      </fill>
    </dxf>
    <dxf>
      <fill>
        <patternFill patternType="solid">
          <fgColor rgb="FF8C2F2F"/>
          <bgColor rgb="FF000000"/>
        </patternFill>
      </fill>
    </dxf>
    <dxf>
      <fill>
        <patternFill patternType="solid">
          <fgColor rgb="FFFFF6D6"/>
          <bgColor rgb="FF000000"/>
        </patternFill>
      </fill>
    </dxf>
  </dxfs>
  <colors>
    <indexedColors>
      <rgbColor rgb="FF000000"/>
      <rgbColor rgb="FFFFFFFF"/>
      <rgbColor rgb="FFFF0000"/>
      <rgbColor rgb="FF00FF00"/>
      <rgbColor rgb="FF0000FF"/>
      <rgbColor rgb="FFFFFF00"/>
      <rgbColor rgb="FFFF00FF"/>
      <rgbColor rgb="FF00FFFF"/>
      <rgbColor rgb="FF800000"/>
      <rgbColor rgb="FF1F5C35"/>
      <rgbColor rgb="FF000080"/>
      <rgbColor rgb="FF8A5A12"/>
      <rgbColor rgb="FF800080"/>
      <rgbColor rgb="FF008080"/>
      <rgbColor rgb="FFC0C0C0"/>
      <rgbColor rgb="FF808080"/>
      <rgbColor rgb="FF9999FF"/>
      <rgbColor rgb="FF993366"/>
      <rgbColor rgb="FFFFF6D6"/>
      <rgbColor rgb="FFE3F0E7"/>
      <rgbColor rgb="FF660066"/>
      <rgbColor rgb="FFFF8080"/>
      <rgbColor rgb="FF0066CC"/>
      <rgbColor rgb="FFD0D6E0"/>
      <rgbColor rgb="FF000080"/>
      <rgbColor rgb="FFFF00FF"/>
      <rgbColor rgb="FFFFFF00"/>
      <rgbColor rgb="FF00FFFF"/>
      <rgbColor rgb="FF800080"/>
      <rgbColor rgb="FF800000"/>
      <rgbColor rgb="FF008080"/>
      <rgbColor rgb="FF0000FF"/>
      <rgbColor rgb="FF00CCFF"/>
      <rgbColor rgb="FFE8EBF2"/>
      <rgbColor rgb="FFF4F6FA"/>
      <rgbColor rgb="FFFBF0DC"/>
      <rgbColor rgb="FF99CCFF"/>
      <rgbColor rgb="FFFF99CC"/>
      <rgbColor rgb="FFCC99FF"/>
      <rgbColor rgb="FFF6E7E7"/>
      <rgbColor rgb="FF3366FF"/>
      <rgbColor rgb="FF33CCCC"/>
      <rgbColor rgb="FF99CC00"/>
      <rgbColor rgb="FFFFCC00"/>
      <rgbColor rgb="FFFF9900"/>
      <rgbColor rgb="FFFF6600"/>
      <rgbColor rgb="FF5A6472"/>
      <rgbColor rgb="FF969696"/>
      <rgbColor rgb="FF1E2761"/>
      <rgbColor rgb="FF339966"/>
      <rgbColor rgb="FF003300"/>
      <rgbColor rgb="FF333300"/>
      <rgbColor rgb="FF8C2F2F"/>
      <rgbColor rgb="FF993366"/>
      <rgbColor rgb="FF333399"/>
      <rgbColor rgb="FF1B24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0"/>
    <col collapsed="false" customWidth="true" hidden="false" outlineLevel="0" max="4" min="4" style="0" width="52"/>
    <col collapsed="false" customWidth="true" hidden="false" outlineLevel="0" max="5" min="5" style="0" width="34"/>
    <col collapsed="false" customWidth="true" hidden="false" outlineLevel="0" max="6" min="6" style="0" width="20"/>
    <col collapsed="false" customWidth="true" hidden="false" outlineLevel="0" max="7" min="7" style="0" width="48"/>
    <col collapsed="false" customWidth="true" hidden="false" outlineLevel="0" max="8" min="8" style="0" width="62"/>
    <col collapsed="false" customWidth="true" hidden="false" outlineLevel="0" max="9" min="9" style="0" width="18"/>
    <col collapsed="false" customWidth="true" hidden="false" outlineLevel="0" max="10" min="10" style="0" width="28"/>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33.75" hidden="false" customHeight="true" outlineLevel="0" collapsed="false">
      <c r="A5" s="4" t="s">
        <v>3</v>
      </c>
      <c r="B5" s="4" t="s">
        <v>4</v>
      </c>
      <c r="C5" s="4" t="s">
        <v>5</v>
      </c>
      <c r="D5" s="4" t="s">
        <v>6</v>
      </c>
      <c r="E5" s="4" t="s">
        <v>7</v>
      </c>
      <c r="F5" s="4" t="s">
        <v>8</v>
      </c>
      <c r="G5" s="4" t="s">
        <v>9</v>
      </c>
      <c r="H5" s="4" t="s">
        <v>10</v>
      </c>
      <c r="I5" s="4" t="s">
        <v>11</v>
      </c>
      <c r="J5" s="4" t="s">
        <v>12</v>
      </c>
    </row>
    <row r="6" customFormat="false" ht="22.35" hidden="false" customHeight="false" outlineLevel="0" collapsed="false">
      <c r="A6" s="5" t="n">
        <v>1</v>
      </c>
      <c r="B6" s="6" t="s">
        <v>13</v>
      </c>
      <c r="C6" s="6" t="s">
        <v>14</v>
      </c>
      <c r="D6" s="6" t="s">
        <v>15</v>
      </c>
      <c r="E6" s="6" t="s">
        <v>16</v>
      </c>
      <c r="F6" s="7" t="s">
        <v>17</v>
      </c>
      <c r="G6" s="6" t="s">
        <v>18</v>
      </c>
      <c r="H6" s="6" t="s">
        <v>19</v>
      </c>
      <c r="I6" s="8"/>
      <c r="J6" s="8"/>
    </row>
    <row r="7" customFormat="false" ht="22.35" hidden="false" customHeight="false" outlineLevel="0" collapsed="false">
      <c r="A7" s="9" t="n">
        <v>2</v>
      </c>
      <c r="B7" s="10" t="s">
        <v>13</v>
      </c>
      <c r="C7" s="10" t="s">
        <v>14</v>
      </c>
      <c r="D7" s="10" t="s">
        <v>20</v>
      </c>
      <c r="E7" s="10" t="s">
        <v>21</v>
      </c>
      <c r="F7" s="7" t="s">
        <v>17</v>
      </c>
      <c r="G7" s="10" t="s">
        <v>22</v>
      </c>
      <c r="H7" s="10" t="s">
        <v>23</v>
      </c>
      <c r="I7" s="8"/>
      <c r="J7" s="8"/>
    </row>
    <row r="8" customFormat="false" ht="15" hidden="false" customHeight="false" outlineLevel="0" collapsed="false">
      <c r="A8" s="5" t="n">
        <v>3</v>
      </c>
      <c r="B8" s="6" t="s">
        <v>13</v>
      </c>
      <c r="C8" s="6" t="s">
        <v>14</v>
      </c>
      <c r="D8" s="6" t="s">
        <v>24</v>
      </c>
      <c r="E8" s="6" t="s">
        <v>25</v>
      </c>
      <c r="F8" s="7" t="s">
        <v>17</v>
      </c>
      <c r="G8" s="6" t="s">
        <v>26</v>
      </c>
      <c r="H8" s="6" t="s">
        <v>27</v>
      </c>
      <c r="I8" s="8"/>
      <c r="J8" s="8"/>
    </row>
    <row r="9" customFormat="false" ht="22.35" hidden="false" customHeight="false" outlineLevel="0" collapsed="false">
      <c r="A9" s="9" t="n">
        <v>4</v>
      </c>
      <c r="B9" s="10" t="s">
        <v>13</v>
      </c>
      <c r="C9" s="10" t="s">
        <v>14</v>
      </c>
      <c r="D9" s="10" t="s">
        <v>28</v>
      </c>
      <c r="E9" s="10" t="s">
        <v>29</v>
      </c>
      <c r="F9" s="7" t="s">
        <v>17</v>
      </c>
      <c r="G9" s="10" t="s">
        <v>30</v>
      </c>
      <c r="H9" s="10" t="s">
        <v>31</v>
      </c>
      <c r="I9" s="8"/>
      <c r="J9" s="8"/>
    </row>
    <row r="10" customFormat="false" ht="15" hidden="false" customHeight="false" outlineLevel="0" collapsed="false">
      <c r="A10" s="5" t="n">
        <v>5</v>
      </c>
      <c r="B10" s="6" t="s">
        <v>13</v>
      </c>
      <c r="C10" s="6" t="s">
        <v>14</v>
      </c>
      <c r="D10" s="6" t="s">
        <v>32</v>
      </c>
      <c r="E10" s="6" t="s">
        <v>33</v>
      </c>
      <c r="F10" s="7" t="s">
        <v>17</v>
      </c>
      <c r="G10" s="6" t="s">
        <v>34</v>
      </c>
      <c r="H10" s="6" t="s">
        <v>35</v>
      </c>
      <c r="I10" s="8"/>
      <c r="J10" s="8"/>
    </row>
    <row r="11" customFormat="false" ht="15" hidden="false" customHeight="false" outlineLevel="0" collapsed="false">
      <c r="A11" s="9" t="n">
        <v>6</v>
      </c>
      <c r="B11" s="10" t="s">
        <v>13</v>
      </c>
      <c r="C11" s="10" t="s">
        <v>14</v>
      </c>
      <c r="D11" s="10" t="s">
        <v>36</v>
      </c>
      <c r="E11" s="10" t="s">
        <v>33</v>
      </c>
      <c r="F11" s="7" t="s">
        <v>17</v>
      </c>
      <c r="G11" s="10" t="s">
        <v>34</v>
      </c>
      <c r="H11" s="10" t="s">
        <v>35</v>
      </c>
      <c r="I11" s="8"/>
      <c r="J11" s="8"/>
    </row>
    <row r="12" customFormat="false" ht="22.35" hidden="false" customHeight="false" outlineLevel="0" collapsed="false">
      <c r="A12" s="5" t="n">
        <v>7</v>
      </c>
      <c r="B12" s="6" t="s">
        <v>13</v>
      </c>
      <c r="C12" s="6" t="s">
        <v>14</v>
      </c>
      <c r="D12" s="6" t="s">
        <v>37</v>
      </c>
      <c r="E12" s="6" t="s">
        <v>38</v>
      </c>
      <c r="F12" s="7" t="s">
        <v>17</v>
      </c>
      <c r="G12" s="6" t="s">
        <v>39</v>
      </c>
      <c r="H12" s="6" t="s">
        <v>40</v>
      </c>
      <c r="I12" s="8"/>
      <c r="J12" s="8"/>
    </row>
    <row r="13" customFormat="false" ht="15" hidden="false" customHeight="false" outlineLevel="0" collapsed="false">
      <c r="A13" s="9" t="n">
        <v>8</v>
      </c>
      <c r="B13" s="10" t="s">
        <v>13</v>
      </c>
      <c r="C13" s="10" t="s">
        <v>14</v>
      </c>
      <c r="D13" s="10" t="s">
        <v>41</v>
      </c>
      <c r="E13" s="10" t="s">
        <v>42</v>
      </c>
      <c r="F13" s="7" t="s">
        <v>17</v>
      </c>
      <c r="G13" s="10" t="s">
        <v>43</v>
      </c>
      <c r="H13" s="10" t="s">
        <v>44</v>
      </c>
      <c r="I13" s="8"/>
      <c r="J13" s="8"/>
    </row>
    <row r="14" customFormat="false" ht="15" hidden="false" customHeight="false" outlineLevel="0" collapsed="false">
      <c r="A14" s="5" t="n">
        <v>9</v>
      </c>
      <c r="B14" s="6" t="s">
        <v>13</v>
      </c>
      <c r="C14" s="6" t="s">
        <v>14</v>
      </c>
      <c r="D14" s="6" t="s">
        <v>45</v>
      </c>
      <c r="E14" s="6" t="s">
        <v>46</v>
      </c>
      <c r="F14" s="7" t="s">
        <v>17</v>
      </c>
      <c r="G14" s="6" t="s">
        <v>47</v>
      </c>
      <c r="H14" s="6" t="s">
        <v>48</v>
      </c>
      <c r="I14" s="8"/>
      <c r="J14" s="8"/>
    </row>
    <row r="15" customFormat="false" ht="15" hidden="false" customHeight="false" outlineLevel="0" collapsed="false">
      <c r="A15" s="9" t="n">
        <v>10</v>
      </c>
      <c r="B15" s="10" t="s">
        <v>13</v>
      </c>
      <c r="C15" s="10" t="s">
        <v>14</v>
      </c>
      <c r="D15" s="10" t="s">
        <v>49</v>
      </c>
      <c r="E15" s="10" t="s">
        <v>50</v>
      </c>
      <c r="F15" s="11" t="s">
        <v>51</v>
      </c>
      <c r="G15" s="10" t="s">
        <v>52</v>
      </c>
      <c r="H15" s="10" t="s">
        <v>53</v>
      </c>
      <c r="I15" s="8"/>
      <c r="J15" s="8"/>
    </row>
    <row r="16" customFormat="false" ht="15" hidden="false" customHeight="false" outlineLevel="0" collapsed="false">
      <c r="A16" s="5" t="n">
        <v>11</v>
      </c>
      <c r="B16" s="6" t="s">
        <v>13</v>
      </c>
      <c r="C16" s="6" t="s">
        <v>14</v>
      </c>
      <c r="D16" s="6" t="s">
        <v>54</v>
      </c>
      <c r="E16" s="6" t="s">
        <v>50</v>
      </c>
      <c r="F16" s="11" t="s">
        <v>51</v>
      </c>
      <c r="G16" s="6" t="s">
        <v>52</v>
      </c>
      <c r="H16" s="6" t="s">
        <v>55</v>
      </c>
      <c r="I16" s="8"/>
      <c r="J16" s="8"/>
    </row>
    <row r="17" customFormat="false" ht="22.35" hidden="false" customHeight="false" outlineLevel="0" collapsed="false">
      <c r="A17" s="9" t="n">
        <v>12</v>
      </c>
      <c r="B17" s="10" t="s">
        <v>13</v>
      </c>
      <c r="C17" s="10" t="s">
        <v>56</v>
      </c>
      <c r="D17" s="10" t="s">
        <v>57</v>
      </c>
      <c r="E17" s="10" t="s">
        <v>58</v>
      </c>
      <c r="F17" s="11" t="s">
        <v>51</v>
      </c>
      <c r="G17" s="10" t="s">
        <v>59</v>
      </c>
      <c r="H17" s="10" t="s">
        <v>60</v>
      </c>
      <c r="I17" s="8"/>
      <c r="J17" s="8"/>
    </row>
    <row r="18" customFormat="false" ht="15" hidden="false" customHeight="false" outlineLevel="0" collapsed="false">
      <c r="A18" s="5" t="n">
        <v>13</v>
      </c>
      <c r="B18" s="6" t="s">
        <v>13</v>
      </c>
      <c r="C18" s="6" t="s">
        <v>61</v>
      </c>
      <c r="D18" s="6" t="s">
        <v>62</v>
      </c>
      <c r="E18" s="6" t="s">
        <v>63</v>
      </c>
      <c r="F18" s="7" t="s">
        <v>17</v>
      </c>
      <c r="G18" s="6" t="s">
        <v>64</v>
      </c>
      <c r="H18" s="6" t="s">
        <v>65</v>
      </c>
      <c r="I18" s="8"/>
      <c r="J18" s="8"/>
    </row>
    <row r="19" customFormat="false" ht="15" hidden="false" customHeight="false" outlineLevel="0" collapsed="false">
      <c r="A19" s="9" t="n">
        <v>14</v>
      </c>
      <c r="B19" s="10" t="s">
        <v>13</v>
      </c>
      <c r="C19" s="10" t="s">
        <v>61</v>
      </c>
      <c r="D19" s="10" t="s">
        <v>66</v>
      </c>
      <c r="E19" s="10" t="s">
        <v>67</v>
      </c>
      <c r="F19" s="7" t="s">
        <v>17</v>
      </c>
      <c r="G19" s="10" t="s">
        <v>68</v>
      </c>
      <c r="H19" s="10" t="s">
        <v>69</v>
      </c>
      <c r="I19" s="8"/>
      <c r="J19" s="8"/>
    </row>
    <row r="20" customFormat="false" ht="15" hidden="false" customHeight="false" outlineLevel="0" collapsed="false">
      <c r="A20" s="5" t="n">
        <v>15</v>
      </c>
      <c r="B20" s="6" t="s">
        <v>13</v>
      </c>
      <c r="C20" s="6" t="s">
        <v>61</v>
      </c>
      <c r="D20" s="6" t="s">
        <v>70</v>
      </c>
      <c r="E20" s="6" t="s">
        <v>71</v>
      </c>
      <c r="F20" s="7" t="s">
        <v>17</v>
      </c>
      <c r="G20" s="6" t="s">
        <v>72</v>
      </c>
      <c r="H20" s="6" t="s">
        <v>73</v>
      </c>
      <c r="I20" s="8"/>
      <c r="J20" s="8"/>
    </row>
    <row r="21" customFormat="false" ht="15" hidden="false" customHeight="false" outlineLevel="0" collapsed="false">
      <c r="A21" s="9" t="n">
        <v>16</v>
      </c>
      <c r="B21" s="10" t="s">
        <v>13</v>
      </c>
      <c r="C21" s="10" t="s">
        <v>61</v>
      </c>
      <c r="D21" s="10" t="s">
        <v>74</v>
      </c>
      <c r="E21" s="10" t="s">
        <v>71</v>
      </c>
      <c r="F21" s="11" t="s">
        <v>51</v>
      </c>
      <c r="G21" s="10" t="s">
        <v>75</v>
      </c>
      <c r="H21" s="10" t="s">
        <v>76</v>
      </c>
      <c r="I21" s="8"/>
      <c r="J21" s="8"/>
    </row>
    <row r="22" customFormat="false" ht="22.35" hidden="false" customHeight="false" outlineLevel="0" collapsed="false">
      <c r="A22" s="5" t="n">
        <v>17</v>
      </c>
      <c r="B22" s="6" t="s">
        <v>13</v>
      </c>
      <c r="C22" s="6" t="s">
        <v>61</v>
      </c>
      <c r="D22" s="6" t="s">
        <v>77</v>
      </c>
      <c r="E22" s="6" t="s">
        <v>71</v>
      </c>
      <c r="F22" s="7" t="s">
        <v>17</v>
      </c>
      <c r="G22" s="6" t="s">
        <v>78</v>
      </c>
      <c r="H22" s="6" t="s">
        <v>79</v>
      </c>
      <c r="I22" s="8"/>
      <c r="J22" s="8"/>
    </row>
    <row r="23" customFormat="false" ht="22.35" hidden="false" customHeight="false" outlineLevel="0" collapsed="false">
      <c r="A23" s="9" t="n">
        <v>18</v>
      </c>
      <c r="B23" s="10" t="s">
        <v>13</v>
      </c>
      <c r="C23" s="10" t="s">
        <v>61</v>
      </c>
      <c r="D23" s="10" t="s">
        <v>80</v>
      </c>
      <c r="E23" s="10" t="s">
        <v>25</v>
      </c>
      <c r="F23" s="7" t="s">
        <v>17</v>
      </c>
      <c r="G23" s="10" t="s">
        <v>81</v>
      </c>
      <c r="H23" s="10" t="s">
        <v>82</v>
      </c>
      <c r="I23" s="8"/>
      <c r="J23" s="8"/>
    </row>
    <row r="24" customFormat="false" ht="22.35" hidden="false" customHeight="false" outlineLevel="0" collapsed="false">
      <c r="A24" s="5" t="n">
        <v>19</v>
      </c>
      <c r="B24" s="6" t="s">
        <v>13</v>
      </c>
      <c r="C24" s="6" t="s">
        <v>83</v>
      </c>
      <c r="D24" s="6" t="s">
        <v>84</v>
      </c>
      <c r="E24" s="6" t="s">
        <v>85</v>
      </c>
      <c r="F24" s="7" t="s">
        <v>17</v>
      </c>
      <c r="G24" s="6" t="s">
        <v>86</v>
      </c>
      <c r="H24" s="6" t="s">
        <v>87</v>
      </c>
      <c r="I24" s="8"/>
      <c r="J24" s="8"/>
    </row>
    <row r="25" customFormat="false" ht="22.35" hidden="false" customHeight="false" outlineLevel="0" collapsed="false">
      <c r="A25" s="9" t="n">
        <v>20</v>
      </c>
      <c r="B25" s="10" t="s">
        <v>13</v>
      </c>
      <c r="C25" s="10" t="s">
        <v>83</v>
      </c>
      <c r="D25" s="10" t="s">
        <v>88</v>
      </c>
      <c r="E25" s="10" t="s">
        <v>89</v>
      </c>
      <c r="F25" s="11" t="s">
        <v>51</v>
      </c>
      <c r="G25" s="10" t="s">
        <v>90</v>
      </c>
      <c r="H25" s="10" t="s">
        <v>91</v>
      </c>
      <c r="I25" s="8"/>
      <c r="J25" s="8"/>
    </row>
    <row r="26" customFormat="false" ht="15" hidden="false" customHeight="false" outlineLevel="0" collapsed="false">
      <c r="A26" s="5" t="n">
        <v>21</v>
      </c>
      <c r="B26" s="6" t="s">
        <v>13</v>
      </c>
      <c r="C26" s="6" t="s">
        <v>83</v>
      </c>
      <c r="D26" s="6" t="s">
        <v>92</v>
      </c>
      <c r="E26" s="6" t="s">
        <v>85</v>
      </c>
      <c r="F26" s="7" t="s">
        <v>17</v>
      </c>
      <c r="G26" s="6" t="s">
        <v>93</v>
      </c>
      <c r="H26" s="6" t="s">
        <v>94</v>
      </c>
      <c r="I26" s="8"/>
      <c r="J26" s="8"/>
    </row>
    <row r="27" customFormat="false" ht="22.35" hidden="false" customHeight="false" outlineLevel="0" collapsed="false">
      <c r="A27" s="9" t="n">
        <v>22</v>
      </c>
      <c r="B27" s="10" t="s">
        <v>13</v>
      </c>
      <c r="C27" s="10" t="s">
        <v>83</v>
      </c>
      <c r="D27" s="10" t="s">
        <v>95</v>
      </c>
      <c r="E27" s="10" t="s">
        <v>85</v>
      </c>
      <c r="F27" s="11" t="s">
        <v>51</v>
      </c>
      <c r="G27" s="10" t="s">
        <v>96</v>
      </c>
      <c r="H27" s="10" t="s">
        <v>97</v>
      </c>
      <c r="I27" s="8"/>
      <c r="J27" s="8"/>
    </row>
    <row r="28" customFormat="false" ht="22.35" hidden="false" customHeight="false" outlineLevel="0" collapsed="false">
      <c r="A28" s="5" t="n">
        <v>23</v>
      </c>
      <c r="B28" s="6" t="s">
        <v>13</v>
      </c>
      <c r="C28" s="6" t="s">
        <v>83</v>
      </c>
      <c r="D28" s="6" t="s">
        <v>98</v>
      </c>
      <c r="E28" s="6" t="s">
        <v>67</v>
      </c>
      <c r="F28" s="11" t="s">
        <v>51</v>
      </c>
      <c r="G28" s="6" t="s">
        <v>99</v>
      </c>
      <c r="H28" s="6" t="s">
        <v>100</v>
      </c>
      <c r="I28" s="8"/>
      <c r="J28" s="8"/>
    </row>
    <row r="29" customFormat="false" ht="15" hidden="false" customHeight="false" outlineLevel="0" collapsed="false">
      <c r="A29" s="9" t="n">
        <v>24</v>
      </c>
      <c r="B29" s="10" t="s">
        <v>13</v>
      </c>
      <c r="C29" s="10" t="s">
        <v>83</v>
      </c>
      <c r="D29" s="10" t="s">
        <v>101</v>
      </c>
      <c r="E29" s="10" t="s">
        <v>85</v>
      </c>
      <c r="F29" s="7" t="s">
        <v>17</v>
      </c>
      <c r="G29" s="10" t="s">
        <v>102</v>
      </c>
      <c r="H29" s="10" t="s">
        <v>103</v>
      </c>
      <c r="I29" s="8"/>
      <c r="J29" s="8"/>
    </row>
    <row r="30" customFormat="false" ht="15" hidden="false" customHeight="false" outlineLevel="0" collapsed="false">
      <c r="A30" s="5" t="n">
        <v>25</v>
      </c>
      <c r="B30" s="6" t="s">
        <v>13</v>
      </c>
      <c r="C30" s="6" t="s">
        <v>104</v>
      </c>
      <c r="D30" s="6" t="s">
        <v>105</v>
      </c>
      <c r="E30" s="6" t="s">
        <v>106</v>
      </c>
      <c r="F30" s="7" t="s">
        <v>17</v>
      </c>
      <c r="G30" s="6" t="s">
        <v>107</v>
      </c>
      <c r="H30" s="6" t="s">
        <v>108</v>
      </c>
      <c r="I30" s="8"/>
      <c r="J30" s="8"/>
    </row>
    <row r="31" customFormat="false" ht="22.35" hidden="false" customHeight="false" outlineLevel="0" collapsed="false">
      <c r="A31" s="9" t="n">
        <v>26</v>
      </c>
      <c r="B31" s="10" t="s">
        <v>13</v>
      </c>
      <c r="C31" s="10" t="s">
        <v>104</v>
      </c>
      <c r="D31" s="10" t="s">
        <v>109</v>
      </c>
      <c r="E31" s="10" t="s">
        <v>110</v>
      </c>
      <c r="F31" s="7" t="s">
        <v>17</v>
      </c>
      <c r="G31" s="10" t="s">
        <v>111</v>
      </c>
      <c r="H31" s="10" t="s">
        <v>87</v>
      </c>
      <c r="I31" s="8"/>
      <c r="J31" s="8"/>
    </row>
    <row r="32" customFormat="false" ht="22.35" hidden="false" customHeight="false" outlineLevel="0" collapsed="false">
      <c r="A32" s="5" t="n">
        <v>27</v>
      </c>
      <c r="B32" s="6" t="s">
        <v>13</v>
      </c>
      <c r="C32" s="6" t="s">
        <v>104</v>
      </c>
      <c r="D32" s="6" t="s">
        <v>112</v>
      </c>
      <c r="E32" s="6" t="s">
        <v>113</v>
      </c>
      <c r="F32" s="11" t="s">
        <v>51</v>
      </c>
      <c r="G32" s="6" t="s">
        <v>114</v>
      </c>
      <c r="H32" s="6" t="s">
        <v>115</v>
      </c>
      <c r="I32" s="8"/>
      <c r="J32" s="8"/>
    </row>
    <row r="33" customFormat="false" ht="22.35" hidden="false" customHeight="false" outlineLevel="0" collapsed="false">
      <c r="A33" s="9" t="n">
        <v>28</v>
      </c>
      <c r="B33" s="10" t="s">
        <v>13</v>
      </c>
      <c r="C33" s="10" t="s">
        <v>104</v>
      </c>
      <c r="D33" s="10" t="s">
        <v>116</v>
      </c>
      <c r="E33" s="10" t="s">
        <v>117</v>
      </c>
      <c r="F33" s="11" t="s">
        <v>51</v>
      </c>
      <c r="G33" s="10" t="s">
        <v>118</v>
      </c>
      <c r="H33" s="10" t="s">
        <v>119</v>
      </c>
      <c r="I33" s="8"/>
      <c r="J33" s="8"/>
    </row>
    <row r="34" customFormat="false" ht="22.35" hidden="false" customHeight="false" outlineLevel="0" collapsed="false">
      <c r="A34" s="5" t="n">
        <v>29</v>
      </c>
      <c r="B34" s="6" t="s">
        <v>13</v>
      </c>
      <c r="C34" s="6" t="s">
        <v>104</v>
      </c>
      <c r="D34" s="6" t="s">
        <v>120</v>
      </c>
      <c r="E34" s="6" t="s">
        <v>121</v>
      </c>
      <c r="F34" s="7" t="s">
        <v>17</v>
      </c>
      <c r="G34" s="6" t="s">
        <v>122</v>
      </c>
      <c r="H34" s="6" t="s">
        <v>123</v>
      </c>
      <c r="I34" s="8"/>
      <c r="J34" s="8"/>
    </row>
    <row r="35" customFormat="false" ht="15" hidden="false" customHeight="false" outlineLevel="0" collapsed="false">
      <c r="A35" s="9" t="n">
        <v>30</v>
      </c>
      <c r="B35" s="10" t="s">
        <v>13</v>
      </c>
      <c r="C35" s="10" t="s">
        <v>104</v>
      </c>
      <c r="D35" s="10" t="s">
        <v>124</v>
      </c>
      <c r="E35" s="10" t="s">
        <v>110</v>
      </c>
      <c r="F35" s="12" t="s">
        <v>125</v>
      </c>
      <c r="G35" s="10" t="s">
        <v>126</v>
      </c>
      <c r="H35" s="10" t="s">
        <v>127</v>
      </c>
      <c r="I35" s="8"/>
      <c r="J35" s="8"/>
    </row>
    <row r="36" customFormat="false" ht="15" hidden="false" customHeight="false" outlineLevel="0" collapsed="false">
      <c r="A36" s="5" t="n">
        <v>31</v>
      </c>
      <c r="B36" s="6" t="s">
        <v>13</v>
      </c>
      <c r="C36" s="6" t="s">
        <v>104</v>
      </c>
      <c r="D36" s="6" t="s">
        <v>128</v>
      </c>
      <c r="E36" s="6" t="s">
        <v>129</v>
      </c>
      <c r="F36" s="7" t="s">
        <v>17</v>
      </c>
      <c r="G36" s="6" t="s">
        <v>130</v>
      </c>
      <c r="H36" s="6" t="s">
        <v>131</v>
      </c>
      <c r="I36" s="8"/>
      <c r="J36" s="8"/>
    </row>
    <row r="37" customFormat="false" ht="15" hidden="false" customHeight="false" outlineLevel="0" collapsed="false">
      <c r="A37" s="9" t="n">
        <v>32</v>
      </c>
      <c r="B37" s="10" t="s">
        <v>13</v>
      </c>
      <c r="C37" s="10" t="s">
        <v>104</v>
      </c>
      <c r="D37" s="10" t="s">
        <v>132</v>
      </c>
      <c r="E37" s="10" t="s">
        <v>129</v>
      </c>
      <c r="F37" s="12" t="s">
        <v>125</v>
      </c>
      <c r="G37" s="10" t="s">
        <v>133</v>
      </c>
      <c r="H37" s="10" t="s">
        <v>134</v>
      </c>
      <c r="I37" s="8"/>
      <c r="J37" s="8"/>
    </row>
    <row r="38" customFormat="false" ht="22.35" hidden="false" customHeight="false" outlineLevel="0" collapsed="false">
      <c r="A38" s="5" t="n">
        <v>33</v>
      </c>
      <c r="B38" s="6" t="s">
        <v>13</v>
      </c>
      <c r="C38" s="6" t="s">
        <v>135</v>
      </c>
      <c r="D38" s="6" t="s">
        <v>136</v>
      </c>
      <c r="E38" s="6" t="s">
        <v>117</v>
      </c>
      <c r="F38" s="7" t="s">
        <v>17</v>
      </c>
      <c r="G38" s="6" t="s">
        <v>137</v>
      </c>
      <c r="H38" s="6" t="s">
        <v>138</v>
      </c>
      <c r="I38" s="8"/>
      <c r="J38" s="8"/>
    </row>
    <row r="39" customFormat="false" ht="22.35" hidden="false" customHeight="false" outlineLevel="0" collapsed="false">
      <c r="A39" s="9" t="n">
        <v>34</v>
      </c>
      <c r="B39" s="10" t="s">
        <v>13</v>
      </c>
      <c r="C39" s="10" t="s">
        <v>135</v>
      </c>
      <c r="D39" s="10" t="s">
        <v>139</v>
      </c>
      <c r="E39" s="10" t="s">
        <v>140</v>
      </c>
      <c r="F39" s="12" t="s">
        <v>125</v>
      </c>
      <c r="G39" s="10" t="s">
        <v>141</v>
      </c>
      <c r="H39" s="10" t="s">
        <v>142</v>
      </c>
      <c r="I39" s="8"/>
      <c r="J39" s="8"/>
    </row>
    <row r="40" customFormat="false" ht="15" hidden="false" customHeight="false" outlineLevel="0" collapsed="false">
      <c r="A40" s="5" t="n">
        <v>35</v>
      </c>
      <c r="B40" s="6" t="s">
        <v>13</v>
      </c>
      <c r="C40" s="6" t="s">
        <v>143</v>
      </c>
      <c r="D40" s="6" t="s">
        <v>144</v>
      </c>
      <c r="E40" s="6" t="s">
        <v>145</v>
      </c>
      <c r="F40" s="11" t="s">
        <v>51</v>
      </c>
      <c r="G40" s="6" t="s">
        <v>146</v>
      </c>
      <c r="H40" s="6" t="s">
        <v>147</v>
      </c>
      <c r="I40" s="8"/>
      <c r="J40" s="8"/>
    </row>
    <row r="41" customFormat="false" ht="15" hidden="false" customHeight="false" outlineLevel="0" collapsed="false">
      <c r="A41" s="9" t="n">
        <v>36</v>
      </c>
      <c r="B41" s="10" t="s">
        <v>13</v>
      </c>
      <c r="C41" s="10" t="s">
        <v>143</v>
      </c>
      <c r="D41" s="10" t="s">
        <v>148</v>
      </c>
      <c r="E41" s="10" t="s">
        <v>149</v>
      </c>
      <c r="F41" s="7" t="s">
        <v>17</v>
      </c>
      <c r="G41" s="10" t="s">
        <v>150</v>
      </c>
      <c r="H41" s="10" t="s">
        <v>151</v>
      </c>
      <c r="I41" s="8"/>
      <c r="J41" s="8"/>
    </row>
    <row r="42" customFormat="false" ht="15" hidden="false" customHeight="false" outlineLevel="0" collapsed="false">
      <c r="A42" s="5" t="n">
        <v>37</v>
      </c>
      <c r="B42" s="6" t="s">
        <v>13</v>
      </c>
      <c r="C42" s="6" t="s">
        <v>143</v>
      </c>
      <c r="D42" s="6" t="s">
        <v>152</v>
      </c>
      <c r="E42" s="6" t="s">
        <v>149</v>
      </c>
      <c r="F42" s="7" t="s">
        <v>17</v>
      </c>
      <c r="G42" s="6" t="s">
        <v>153</v>
      </c>
      <c r="H42" s="6" t="s">
        <v>154</v>
      </c>
      <c r="I42" s="8"/>
      <c r="J42" s="8"/>
    </row>
    <row r="43" customFormat="false" ht="15" hidden="false" customHeight="false" outlineLevel="0" collapsed="false">
      <c r="A43" s="9" t="n">
        <v>38</v>
      </c>
      <c r="B43" s="10" t="s">
        <v>13</v>
      </c>
      <c r="C43" s="10" t="s">
        <v>143</v>
      </c>
      <c r="D43" s="10" t="s">
        <v>155</v>
      </c>
      <c r="E43" s="10" t="s">
        <v>149</v>
      </c>
      <c r="F43" s="7" t="s">
        <v>17</v>
      </c>
      <c r="G43" s="10" t="s">
        <v>156</v>
      </c>
      <c r="H43" s="10" t="s">
        <v>157</v>
      </c>
      <c r="I43" s="8"/>
      <c r="J43" s="8"/>
    </row>
    <row r="44" customFormat="false" ht="22.35" hidden="false" customHeight="false" outlineLevel="0" collapsed="false">
      <c r="A44" s="5" t="n">
        <v>39</v>
      </c>
      <c r="B44" s="6" t="s">
        <v>13</v>
      </c>
      <c r="C44" s="6" t="s">
        <v>143</v>
      </c>
      <c r="D44" s="6" t="s">
        <v>158</v>
      </c>
      <c r="E44" s="6" t="s">
        <v>149</v>
      </c>
      <c r="F44" s="11" t="s">
        <v>51</v>
      </c>
      <c r="G44" s="6" t="s">
        <v>159</v>
      </c>
      <c r="H44" s="6" t="s">
        <v>160</v>
      </c>
      <c r="I44" s="8"/>
      <c r="J44" s="8"/>
    </row>
    <row r="45" customFormat="false" ht="15" hidden="false" customHeight="false" outlineLevel="0" collapsed="false">
      <c r="A45" s="9" t="n">
        <v>40</v>
      </c>
      <c r="B45" s="10" t="s">
        <v>13</v>
      </c>
      <c r="C45" s="10" t="s">
        <v>161</v>
      </c>
      <c r="D45" s="10" t="s">
        <v>162</v>
      </c>
      <c r="E45" s="10" t="s">
        <v>163</v>
      </c>
      <c r="F45" s="12" t="s">
        <v>125</v>
      </c>
      <c r="G45" s="10" t="s">
        <v>164</v>
      </c>
      <c r="H45" s="10" t="s">
        <v>165</v>
      </c>
      <c r="I45" s="8"/>
      <c r="J45" s="8"/>
    </row>
    <row r="46" customFormat="false" ht="15" hidden="false" customHeight="false" outlineLevel="0" collapsed="false">
      <c r="A46" s="5" t="n">
        <v>41</v>
      </c>
      <c r="B46" s="6" t="s">
        <v>13</v>
      </c>
      <c r="C46" s="6" t="s">
        <v>161</v>
      </c>
      <c r="D46" s="6" t="s">
        <v>166</v>
      </c>
      <c r="E46" s="6" t="s">
        <v>163</v>
      </c>
      <c r="F46" s="11" t="s">
        <v>51</v>
      </c>
      <c r="G46" s="6" t="s">
        <v>167</v>
      </c>
      <c r="H46" s="6" t="s">
        <v>168</v>
      </c>
      <c r="I46" s="8"/>
      <c r="J46" s="8"/>
    </row>
    <row r="47" customFormat="false" ht="15" hidden="false" customHeight="false" outlineLevel="0" collapsed="false">
      <c r="A47" s="9" t="n">
        <v>42</v>
      </c>
      <c r="B47" s="10" t="s">
        <v>13</v>
      </c>
      <c r="C47" s="10" t="s">
        <v>161</v>
      </c>
      <c r="D47" s="10" t="s">
        <v>169</v>
      </c>
      <c r="E47" s="10" t="s">
        <v>170</v>
      </c>
      <c r="F47" s="11" t="s">
        <v>51</v>
      </c>
      <c r="G47" s="10" t="s">
        <v>171</v>
      </c>
      <c r="H47" s="10" t="s">
        <v>172</v>
      </c>
      <c r="I47" s="8"/>
      <c r="J47" s="8"/>
    </row>
    <row r="48" customFormat="false" ht="22.35" hidden="false" customHeight="false" outlineLevel="0" collapsed="false">
      <c r="A48" s="5" t="n">
        <v>43</v>
      </c>
      <c r="B48" s="6" t="s">
        <v>13</v>
      </c>
      <c r="C48" s="6" t="s">
        <v>161</v>
      </c>
      <c r="D48" s="6" t="s">
        <v>173</v>
      </c>
      <c r="E48" s="6" t="s">
        <v>140</v>
      </c>
      <c r="F48" s="11" t="s">
        <v>51</v>
      </c>
      <c r="G48" s="6" t="s">
        <v>174</v>
      </c>
      <c r="H48" s="6" t="s">
        <v>175</v>
      </c>
      <c r="I48" s="8"/>
      <c r="J48" s="8"/>
    </row>
    <row r="49" customFormat="false" ht="15" hidden="false" customHeight="false" outlineLevel="0" collapsed="false">
      <c r="A49" s="9" t="n">
        <v>44</v>
      </c>
      <c r="B49" s="10" t="s">
        <v>13</v>
      </c>
      <c r="C49" s="10" t="s">
        <v>161</v>
      </c>
      <c r="D49" s="10" t="s">
        <v>176</v>
      </c>
      <c r="E49" s="10" t="s">
        <v>140</v>
      </c>
      <c r="F49" s="7" t="s">
        <v>17</v>
      </c>
      <c r="G49" s="10" t="s">
        <v>177</v>
      </c>
      <c r="H49" s="10" t="s">
        <v>178</v>
      </c>
      <c r="I49" s="8"/>
      <c r="J49" s="8"/>
    </row>
    <row r="50" customFormat="false" ht="15" hidden="false" customHeight="false" outlineLevel="0" collapsed="false">
      <c r="A50" s="5" t="n">
        <v>45</v>
      </c>
      <c r="B50" s="6" t="s">
        <v>13</v>
      </c>
      <c r="C50" s="6" t="s">
        <v>161</v>
      </c>
      <c r="D50" s="6" t="s">
        <v>179</v>
      </c>
      <c r="E50" s="6" t="s">
        <v>180</v>
      </c>
      <c r="F50" s="11" t="s">
        <v>51</v>
      </c>
      <c r="G50" s="6" t="s">
        <v>181</v>
      </c>
      <c r="H50" s="6" t="s">
        <v>182</v>
      </c>
      <c r="I50" s="8"/>
      <c r="J50" s="8"/>
    </row>
    <row r="51" customFormat="false" ht="22.35" hidden="false" customHeight="false" outlineLevel="0" collapsed="false">
      <c r="A51" s="9" t="n">
        <v>46</v>
      </c>
      <c r="B51" s="10" t="s">
        <v>13</v>
      </c>
      <c r="C51" s="10" t="s">
        <v>161</v>
      </c>
      <c r="D51" s="10" t="s">
        <v>183</v>
      </c>
      <c r="E51" s="10" t="s">
        <v>184</v>
      </c>
      <c r="F51" s="7" t="s">
        <v>17</v>
      </c>
      <c r="G51" s="10" t="s">
        <v>185</v>
      </c>
      <c r="H51" s="10" t="s">
        <v>186</v>
      </c>
      <c r="I51" s="8"/>
      <c r="J51" s="8"/>
    </row>
    <row r="52" customFormat="false" ht="15" hidden="false" customHeight="false" outlineLevel="0" collapsed="false">
      <c r="A52" s="5" t="n">
        <v>47</v>
      </c>
      <c r="B52" s="6" t="s">
        <v>13</v>
      </c>
      <c r="C52" s="6" t="s">
        <v>161</v>
      </c>
      <c r="D52" s="6" t="s">
        <v>187</v>
      </c>
      <c r="E52" s="6" t="s">
        <v>188</v>
      </c>
      <c r="F52" s="12" t="s">
        <v>125</v>
      </c>
      <c r="G52" s="6" t="s">
        <v>189</v>
      </c>
      <c r="H52" s="6" t="s">
        <v>190</v>
      </c>
      <c r="I52" s="8"/>
      <c r="J52" s="8"/>
    </row>
    <row r="53" customFormat="false" ht="22.35" hidden="false" customHeight="false" outlineLevel="0" collapsed="false">
      <c r="A53" s="9" t="n">
        <v>48</v>
      </c>
      <c r="B53" s="10" t="s">
        <v>13</v>
      </c>
      <c r="C53" s="10" t="s">
        <v>161</v>
      </c>
      <c r="D53" s="10" t="s">
        <v>191</v>
      </c>
      <c r="E53" s="10" t="s">
        <v>192</v>
      </c>
      <c r="F53" s="7" t="s">
        <v>17</v>
      </c>
      <c r="G53" s="10" t="s">
        <v>193</v>
      </c>
      <c r="H53" s="10" t="s">
        <v>194</v>
      </c>
      <c r="I53" s="8"/>
      <c r="J53" s="8"/>
    </row>
    <row r="54" customFormat="false" ht="15" hidden="false" customHeight="false" outlineLevel="0" collapsed="false">
      <c r="A54" s="5" t="n">
        <v>49</v>
      </c>
      <c r="B54" s="6" t="s">
        <v>13</v>
      </c>
      <c r="C54" s="6" t="s">
        <v>161</v>
      </c>
      <c r="D54" s="6" t="s">
        <v>195</v>
      </c>
      <c r="E54" s="6" t="s">
        <v>196</v>
      </c>
      <c r="F54" s="12" t="s">
        <v>125</v>
      </c>
      <c r="G54" s="6" t="s">
        <v>197</v>
      </c>
      <c r="H54" s="6" t="s">
        <v>198</v>
      </c>
      <c r="I54" s="8"/>
      <c r="J54" s="8"/>
    </row>
    <row r="55" customFormat="false" ht="22.35" hidden="false" customHeight="false" outlineLevel="0" collapsed="false">
      <c r="A55" s="9" t="n">
        <v>50</v>
      </c>
      <c r="B55" s="10" t="s">
        <v>13</v>
      </c>
      <c r="C55" s="10" t="s">
        <v>199</v>
      </c>
      <c r="D55" s="10" t="s">
        <v>200</v>
      </c>
      <c r="E55" s="10" t="s">
        <v>201</v>
      </c>
      <c r="F55" s="7" t="s">
        <v>17</v>
      </c>
      <c r="G55" s="10" t="s">
        <v>202</v>
      </c>
      <c r="H55" s="10" t="s">
        <v>203</v>
      </c>
      <c r="I55" s="8"/>
      <c r="J55" s="8"/>
    </row>
    <row r="56" customFormat="false" ht="15" hidden="false" customHeight="false" outlineLevel="0" collapsed="false">
      <c r="A56" s="5" t="n">
        <v>51</v>
      </c>
      <c r="B56" s="6" t="s">
        <v>13</v>
      </c>
      <c r="C56" s="6" t="s">
        <v>199</v>
      </c>
      <c r="D56" s="6" t="s">
        <v>204</v>
      </c>
      <c r="E56" s="6" t="s">
        <v>205</v>
      </c>
      <c r="F56" s="11" t="s">
        <v>51</v>
      </c>
      <c r="G56" s="6" t="s">
        <v>206</v>
      </c>
      <c r="H56" s="6" t="s">
        <v>207</v>
      </c>
      <c r="I56" s="8"/>
      <c r="J56" s="8"/>
    </row>
    <row r="57" customFormat="false" ht="22.35" hidden="false" customHeight="false" outlineLevel="0" collapsed="false">
      <c r="A57" s="9" t="n">
        <v>52</v>
      </c>
      <c r="B57" s="10" t="s">
        <v>13</v>
      </c>
      <c r="C57" s="10" t="s">
        <v>199</v>
      </c>
      <c r="D57" s="10" t="s">
        <v>208</v>
      </c>
      <c r="E57" s="10" t="s">
        <v>209</v>
      </c>
      <c r="F57" s="7" t="s">
        <v>17</v>
      </c>
      <c r="G57" s="10" t="s">
        <v>210</v>
      </c>
      <c r="H57" s="10" t="s">
        <v>211</v>
      </c>
      <c r="I57" s="8"/>
      <c r="J57" s="8"/>
    </row>
    <row r="58" customFormat="false" ht="22.35" hidden="false" customHeight="false" outlineLevel="0" collapsed="false">
      <c r="A58" s="5" t="n">
        <v>53</v>
      </c>
      <c r="B58" s="6" t="s">
        <v>13</v>
      </c>
      <c r="C58" s="6" t="s">
        <v>199</v>
      </c>
      <c r="D58" s="6" t="s">
        <v>212</v>
      </c>
      <c r="E58" s="6" t="s">
        <v>213</v>
      </c>
      <c r="F58" s="7" t="s">
        <v>17</v>
      </c>
      <c r="G58" s="6" t="s">
        <v>214</v>
      </c>
      <c r="H58" s="6" t="s">
        <v>215</v>
      </c>
      <c r="I58" s="8"/>
      <c r="J58" s="8"/>
    </row>
    <row r="59" customFormat="false" ht="22.35" hidden="false" customHeight="false" outlineLevel="0" collapsed="false">
      <c r="A59" s="9" t="n">
        <v>54</v>
      </c>
      <c r="B59" s="10" t="s">
        <v>13</v>
      </c>
      <c r="C59" s="10" t="s">
        <v>199</v>
      </c>
      <c r="D59" s="10" t="s">
        <v>216</v>
      </c>
      <c r="E59" s="10" t="s">
        <v>201</v>
      </c>
      <c r="F59" s="11" t="s">
        <v>51</v>
      </c>
      <c r="G59" s="10" t="s">
        <v>217</v>
      </c>
      <c r="H59" s="10" t="s">
        <v>218</v>
      </c>
      <c r="I59" s="8"/>
      <c r="J59" s="8"/>
    </row>
    <row r="60" customFormat="false" ht="22.35" hidden="false" customHeight="false" outlineLevel="0" collapsed="false">
      <c r="A60" s="5" t="n">
        <v>55</v>
      </c>
      <c r="B60" s="6" t="s">
        <v>13</v>
      </c>
      <c r="C60" s="6" t="s">
        <v>199</v>
      </c>
      <c r="D60" s="6" t="s">
        <v>219</v>
      </c>
      <c r="E60" s="6" t="s">
        <v>205</v>
      </c>
      <c r="F60" s="12" t="s">
        <v>125</v>
      </c>
      <c r="G60" s="6" t="s">
        <v>220</v>
      </c>
      <c r="H60" s="6" t="s">
        <v>221</v>
      </c>
      <c r="I60" s="8"/>
      <c r="J60" s="8"/>
    </row>
    <row r="61" customFormat="false" ht="15" hidden="false" customHeight="false" outlineLevel="0" collapsed="false">
      <c r="A61" s="9" t="n">
        <v>56</v>
      </c>
      <c r="B61" s="10" t="s">
        <v>13</v>
      </c>
      <c r="C61" s="10" t="s">
        <v>199</v>
      </c>
      <c r="D61" s="10" t="s">
        <v>222</v>
      </c>
      <c r="E61" s="10" t="s">
        <v>223</v>
      </c>
      <c r="F61" s="11" t="s">
        <v>51</v>
      </c>
      <c r="G61" s="10" t="s">
        <v>224</v>
      </c>
      <c r="H61" s="10" t="s">
        <v>225</v>
      </c>
      <c r="I61" s="8"/>
      <c r="J61" s="8"/>
    </row>
    <row r="62" customFormat="false" ht="15" hidden="false" customHeight="false" outlineLevel="0" collapsed="false">
      <c r="A62" s="5" t="n">
        <v>57</v>
      </c>
      <c r="B62" s="6" t="s">
        <v>13</v>
      </c>
      <c r="C62" s="6" t="s">
        <v>199</v>
      </c>
      <c r="D62" s="6" t="s">
        <v>226</v>
      </c>
      <c r="E62" s="6" t="s">
        <v>227</v>
      </c>
      <c r="F62" s="7" t="s">
        <v>17</v>
      </c>
      <c r="G62" s="6" t="s">
        <v>228</v>
      </c>
      <c r="H62" s="6" t="s">
        <v>229</v>
      </c>
      <c r="I62" s="8"/>
      <c r="J62" s="8"/>
    </row>
    <row r="63" customFormat="false" ht="22.35" hidden="false" customHeight="false" outlineLevel="0" collapsed="false">
      <c r="A63" s="9" t="n">
        <v>58</v>
      </c>
      <c r="B63" s="10" t="s">
        <v>13</v>
      </c>
      <c r="C63" s="10" t="s">
        <v>230</v>
      </c>
      <c r="D63" s="10" t="s">
        <v>231</v>
      </c>
      <c r="E63" s="10" t="s">
        <v>140</v>
      </c>
      <c r="F63" s="7" t="s">
        <v>17</v>
      </c>
      <c r="G63" s="10" t="s">
        <v>232</v>
      </c>
      <c r="H63" s="10" t="s">
        <v>233</v>
      </c>
      <c r="I63" s="8"/>
      <c r="J63" s="8"/>
    </row>
    <row r="64" customFormat="false" ht="22.35" hidden="false" customHeight="false" outlineLevel="0" collapsed="false">
      <c r="A64" s="5" t="n">
        <v>59</v>
      </c>
      <c r="B64" s="6" t="s">
        <v>13</v>
      </c>
      <c r="C64" s="6" t="s">
        <v>230</v>
      </c>
      <c r="D64" s="6" t="s">
        <v>234</v>
      </c>
      <c r="E64" s="6" t="s">
        <v>140</v>
      </c>
      <c r="F64" s="7" t="s">
        <v>17</v>
      </c>
      <c r="G64" s="6" t="s">
        <v>235</v>
      </c>
      <c r="H64" s="6" t="s">
        <v>236</v>
      </c>
      <c r="I64" s="8"/>
      <c r="J64" s="8"/>
    </row>
    <row r="65" customFormat="false" ht="15" hidden="false" customHeight="false" outlineLevel="0" collapsed="false">
      <c r="A65" s="9" t="n">
        <v>60</v>
      </c>
      <c r="B65" s="10" t="s">
        <v>13</v>
      </c>
      <c r="C65" s="10" t="s">
        <v>230</v>
      </c>
      <c r="D65" s="10" t="s">
        <v>237</v>
      </c>
      <c r="E65" s="10" t="s">
        <v>140</v>
      </c>
      <c r="F65" s="7" t="s">
        <v>17</v>
      </c>
      <c r="G65" s="10" t="s">
        <v>238</v>
      </c>
      <c r="H65" s="10" t="s">
        <v>239</v>
      </c>
      <c r="I65" s="8"/>
      <c r="J65" s="8"/>
    </row>
    <row r="66" customFormat="false" ht="22.35" hidden="false" customHeight="false" outlineLevel="0" collapsed="false">
      <c r="A66" s="5" t="n">
        <v>61</v>
      </c>
      <c r="B66" s="6" t="s">
        <v>13</v>
      </c>
      <c r="C66" s="6" t="s">
        <v>230</v>
      </c>
      <c r="D66" s="6" t="s">
        <v>240</v>
      </c>
      <c r="E66" s="6" t="s">
        <v>241</v>
      </c>
      <c r="F66" s="7" t="s">
        <v>17</v>
      </c>
      <c r="G66" s="6" t="s">
        <v>242</v>
      </c>
      <c r="H66" s="6" t="s">
        <v>243</v>
      </c>
      <c r="I66" s="8"/>
      <c r="J66" s="8"/>
    </row>
    <row r="67" customFormat="false" ht="15" hidden="false" customHeight="false" outlineLevel="0" collapsed="false">
      <c r="A67" s="9" t="n">
        <v>62</v>
      </c>
      <c r="B67" s="10" t="s">
        <v>13</v>
      </c>
      <c r="C67" s="10" t="s">
        <v>244</v>
      </c>
      <c r="D67" s="10" t="s">
        <v>245</v>
      </c>
      <c r="E67" s="10" t="s">
        <v>246</v>
      </c>
      <c r="F67" s="11" t="s">
        <v>51</v>
      </c>
      <c r="G67" s="10" t="s">
        <v>247</v>
      </c>
      <c r="H67" s="10" t="s">
        <v>248</v>
      </c>
      <c r="I67" s="8"/>
      <c r="J67" s="8"/>
    </row>
    <row r="68" customFormat="false" ht="22.35" hidden="false" customHeight="false" outlineLevel="0" collapsed="false">
      <c r="A68" s="5" t="n">
        <v>63</v>
      </c>
      <c r="B68" s="6" t="s">
        <v>13</v>
      </c>
      <c r="C68" s="6" t="s">
        <v>244</v>
      </c>
      <c r="D68" s="6" t="s">
        <v>249</v>
      </c>
      <c r="E68" s="6" t="s">
        <v>250</v>
      </c>
      <c r="F68" s="11" t="s">
        <v>51</v>
      </c>
      <c r="G68" s="6" t="s">
        <v>251</v>
      </c>
      <c r="H68" s="6" t="s">
        <v>252</v>
      </c>
      <c r="I68" s="8"/>
      <c r="J68" s="8"/>
    </row>
    <row r="69" customFormat="false" ht="15" hidden="false" customHeight="false" outlineLevel="0" collapsed="false">
      <c r="A69" s="9" t="n">
        <v>64</v>
      </c>
      <c r="B69" s="10" t="s">
        <v>13</v>
      </c>
      <c r="C69" s="10" t="s">
        <v>244</v>
      </c>
      <c r="D69" s="10" t="s">
        <v>253</v>
      </c>
      <c r="E69" s="10" t="s">
        <v>254</v>
      </c>
      <c r="F69" s="7" t="s">
        <v>17</v>
      </c>
      <c r="G69" s="10" t="s">
        <v>255</v>
      </c>
      <c r="H69" s="10" t="s">
        <v>256</v>
      </c>
      <c r="I69" s="8"/>
      <c r="J69" s="8"/>
    </row>
    <row r="70" customFormat="false" ht="22.35" hidden="false" customHeight="false" outlineLevel="0" collapsed="false">
      <c r="A70" s="5" t="n">
        <v>65</v>
      </c>
      <c r="B70" s="6" t="s">
        <v>257</v>
      </c>
      <c r="C70" s="6" t="s">
        <v>258</v>
      </c>
      <c r="D70" s="6" t="s">
        <v>259</v>
      </c>
      <c r="E70" s="6" t="s">
        <v>260</v>
      </c>
      <c r="F70" s="7" t="s">
        <v>17</v>
      </c>
      <c r="G70" s="6" t="s">
        <v>261</v>
      </c>
      <c r="H70" s="6" t="s">
        <v>262</v>
      </c>
      <c r="I70" s="8"/>
      <c r="J70" s="8"/>
    </row>
    <row r="71" customFormat="false" ht="22.35" hidden="false" customHeight="false" outlineLevel="0" collapsed="false">
      <c r="A71" s="9" t="n">
        <v>66</v>
      </c>
      <c r="B71" s="10" t="s">
        <v>257</v>
      </c>
      <c r="C71" s="10" t="s">
        <v>258</v>
      </c>
      <c r="D71" s="10" t="s">
        <v>263</v>
      </c>
      <c r="E71" s="10" t="s">
        <v>260</v>
      </c>
      <c r="F71" s="7" t="s">
        <v>17</v>
      </c>
      <c r="G71" s="10" t="s">
        <v>264</v>
      </c>
      <c r="H71" s="10" t="s">
        <v>265</v>
      </c>
      <c r="I71" s="8"/>
      <c r="J71" s="8"/>
    </row>
    <row r="72" customFormat="false" ht="15" hidden="false" customHeight="false" outlineLevel="0" collapsed="false">
      <c r="A72" s="5" t="n">
        <v>67</v>
      </c>
      <c r="B72" s="6" t="s">
        <v>257</v>
      </c>
      <c r="C72" s="6" t="s">
        <v>258</v>
      </c>
      <c r="D72" s="6" t="s">
        <v>266</v>
      </c>
      <c r="E72" s="6" t="s">
        <v>209</v>
      </c>
      <c r="F72" s="7" t="s">
        <v>17</v>
      </c>
      <c r="G72" s="6" t="s">
        <v>267</v>
      </c>
      <c r="H72" s="6" t="s">
        <v>268</v>
      </c>
      <c r="I72" s="8"/>
      <c r="J72" s="8"/>
    </row>
    <row r="73" customFormat="false" ht="15" hidden="false" customHeight="false" outlineLevel="0" collapsed="false">
      <c r="A73" s="9" t="n">
        <v>68</v>
      </c>
      <c r="B73" s="10" t="s">
        <v>257</v>
      </c>
      <c r="C73" s="10" t="s">
        <v>258</v>
      </c>
      <c r="D73" s="10" t="s">
        <v>269</v>
      </c>
      <c r="E73" s="10" t="s">
        <v>270</v>
      </c>
      <c r="F73" s="11" t="s">
        <v>51</v>
      </c>
      <c r="G73" s="10" t="s">
        <v>271</v>
      </c>
      <c r="H73" s="10" t="s">
        <v>272</v>
      </c>
      <c r="I73" s="8"/>
      <c r="J73" s="8"/>
    </row>
    <row r="74" customFormat="false" ht="22.35" hidden="false" customHeight="false" outlineLevel="0" collapsed="false">
      <c r="A74" s="5" t="n">
        <v>69</v>
      </c>
      <c r="B74" s="6" t="s">
        <v>257</v>
      </c>
      <c r="C74" s="6" t="s">
        <v>258</v>
      </c>
      <c r="D74" s="6" t="s">
        <v>273</v>
      </c>
      <c r="E74" s="6" t="s">
        <v>274</v>
      </c>
      <c r="F74" s="7" t="s">
        <v>17</v>
      </c>
      <c r="G74" s="6" t="s">
        <v>275</v>
      </c>
      <c r="H74" s="6" t="s">
        <v>154</v>
      </c>
      <c r="I74" s="8"/>
      <c r="J74" s="8"/>
    </row>
    <row r="75" customFormat="false" ht="22.35" hidden="false" customHeight="false" outlineLevel="0" collapsed="false">
      <c r="A75" s="9" t="n">
        <v>70</v>
      </c>
      <c r="B75" s="10" t="s">
        <v>257</v>
      </c>
      <c r="C75" s="10" t="s">
        <v>258</v>
      </c>
      <c r="D75" s="10" t="s">
        <v>276</v>
      </c>
      <c r="E75" s="10" t="s">
        <v>274</v>
      </c>
      <c r="F75" s="12" t="s">
        <v>125</v>
      </c>
      <c r="G75" s="10" t="s">
        <v>277</v>
      </c>
      <c r="H75" s="10" t="s">
        <v>278</v>
      </c>
      <c r="I75" s="8"/>
      <c r="J75" s="8"/>
    </row>
    <row r="76" customFormat="false" ht="22.35" hidden="false" customHeight="false" outlineLevel="0" collapsed="false">
      <c r="A76" s="5" t="n">
        <v>71</v>
      </c>
      <c r="B76" s="6" t="s">
        <v>257</v>
      </c>
      <c r="C76" s="6" t="s">
        <v>279</v>
      </c>
      <c r="D76" s="6" t="s">
        <v>280</v>
      </c>
      <c r="E76" s="6" t="s">
        <v>250</v>
      </c>
      <c r="F76" s="7" t="s">
        <v>17</v>
      </c>
      <c r="G76" s="6" t="s">
        <v>281</v>
      </c>
      <c r="H76" s="6" t="s">
        <v>282</v>
      </c>
      <c r="I76" s="8"/>
      <c r="J76" s="8"/>
    </row>
    <row r="77" customFormat="false" ht="15" hidden="false" customHeight="false" outlineLevel="0" collapsed="false">
      <c r="A77" s="9" t="n">
        <v>72</v>
      </c>
      <c r="B77" s="10" t="s">
        <v>257</v>
      </c>
      <c r="C77" s="10" t="s">
        <v>279</v>
      </c>
      <c r="D77" s="10" t="s">
        <v>283</v>
      </c>
      <c r="E77" s="10" t="s">
        <v>227</v>
      </c>
      <c r="F77" s="7" t="s">
        <v>17</v>
      </c>
      <c r="G77" s="10" t="s">
        <v>251</v>
      </c>
      <c r="H77" s="10" t="s">
        <v>284</v>
      </c>
      <c r="I77" s="8"/>
      <c r="J77" s="8"/>
    </row>
    <row r="78" customFormat="false" ht="22.35" hidden="false" customHeight="false" outlineLevel="0" collapsed="false">
      <c r="A78" s="5" t="n">
        <v>73</v>
      </c>
      <c r="B78" s="6" t="s">
        <v>257</v>
      </c>
      <c r="C78" s="6" t="s">
        <v>279</v>
      </c>
      <c r="D78" s="6" t="s">
        <v>285</v>
      </c>
      <c r="E78" s="6" t="s">
        <v>286</v>
      </c>
      <c r="F78" s="12" t="s">
        <v>125</v>
      </c>
      <c r="G78" s="6" t="s">
        <v>287</v>
      </c>
      <c r="H78" s="6" t="s">
        <v>288</v>
      </c>
      <c r="I78" s="8"/>
      <c r="J78" s="8"/>
    </row>
    <row r="79" customFormat="false" ht="22.35" hidden="false" customHeight="false" outlineLevel="0" collapsed="false">
      <c r="A79" s="9" t="n">
        <v>74</v>
      </c>
      <c r="B79" s="10" t="s">
        <v>257</v>
      </c>
      <c r="C79" s="10" t="s">
        <v>279</v>
      </c>
      <c r="D79" s="10" t="s">
        <v>289</v>
      </c>
      <c r="E79" s="10" t="s">
        <v>290</v>
      </c>
      <c r="F79" s="12" t="s">
        <v>125</v>
      </c>
      <c r="G79" s="10" t="s">
        <v>291</v>
      </c>
      <c r="H79" s="10" t="s">
        <v>292</v>
      </c>
      <c r="I79" s="8"/>
      <c r="J79" s="8"/>
    </row>
    <row r="80" customFormat="false" ht="15" hidden="false" customHeight="false" outlineLevel="0" collapsed="false">
      <c r="A80" s="5" t="n">
        <v>75</v>
      </c>
      <c r="B80" s="6" t="s">
        <v>257</v>
      </c>
      <c r="C80" s="6" t="s">
        <v>279</v>
      </c>
      <c r="D80" s="6" t="s">
        <v>293</v>
      </c>
      <c r="E80" s="6" t="s">
        <v>294</v>
      </c>
      <c r="F80" s="12" t="s">
        <v>125</v>
      </c>
      <c r="G80" s="6" t="s">
        <v>295</v>
      </c>
      <c r="H80" s="6" t="s">
        <v>296</v>
      </c>
      <c r="I80" s="8"/>
      <c r="J80" s="8"/>
    </row>
    <row r="81" customFormat="false" ht="15" hidden="false" customHeight="false" outlineLevel="0" collapsed="false">
      <c r="A81" s="9" t="n">
        <v>76</v>
      </c>
      <c r="B81" s="10" t="s">
        <v>257</v>
      </c>
      <c r="C81" s="10" t="s">
        <v>297</v>
      </c>
      <c r="D81" s="10" t="s">
        <v>298</v>
      </c>
      <c r="E81" s="10" t="s">
        <v>270</v>
      </c>
      <c r="F81" s="7" t="s">
        <v>17</v>
      </c>
      <c r="G81" s="10" t="s">
        <v>299</v>
      </c>
      <c r="H81" s="10" t="s">
        <v>300</v>
      </c>
      <c r="I81" s="8"/>
      <c r="J81" s="8"/>
    </row>
    <row r="82" customFormat="false" ht="15" hidden="false" customHeight="false" outlineLevel="0" collapsed="false">
      <c r="A82" s="5" t="n">
        <v>77</v>
      </c>
      <c r="B82" s="6" t="s">
        <v>257</v>
      </c>
      <c r="C82" s="6" t="s">
        <v>297</v>
      </c>
      <c r="D82" s="6" t="s">
        <v>301</v>
      </c>
      <c r="E82" s="6" t="s">
        <v>302</v>
      </c>
      <c r="F82" s="11" t="s">
        <v>51</v>
      </c>
      <c r="G82" s="6" t="s">
        <v>303</v>
      </c>
      <c r="H82" s="6" t="s">
        <v>304</v>
      </c>
      <c r="I82" s="8"/>
      <c r="J82" s="8"/>
    </row>
    <row r="83" customFormat="false" ht="22.35" hidden="false" customHeight="false" outlineLevel="0" collapsed="false">
      <c r="A83" s="9" t="n">
        <v>78</v>
      </c>
      <c r="B83" s="10" t="s">
        <v>257</v>
      </c>
      <c r="C83" s="10" t="s">
        <v>297</v>
      </c>
      <c r="D83" s="10" t="s">
        <v>305</v>
      </c>
      <c r="E83" s="10" t="s">
        <v>294</v>
      </c>
      <c r="F83" s="11" t="s">
        <v>51</v>
      </c>
      <c r="G83" s="10" t="s">
        <v>306</v>
      </c>
      <c r="H83" s="10" t="s">
        <v>307</v>
      </c>
      <c r="I83" s="8"/>
      <c r="J83" s="8"/>
    </row>
    <row r="84" customFormat="false" ht="22.35" hidden="false" customHeight="false" outlineLevel="0" collapsed="false">
      <c r="A84" s="5" t="n">
        <v>79</v>
      </c>
      <c r="B84" s="6" t="s">
        <v>308</v>
      </c>
      <c r="C84" s="6" t="s">
        <v>309</v>
      </c>
      <c r="D84" s="6" t="s">
        <v>310</v>
      </c>
      <c r="E84" s="6" t="s">
        <v>311</v>
      </c>
      <c r="F84" s="7" t="s">
        <v>17</v>
      </c>
      <c r="G84" s="6" t="s">
        <v>312</v>
      </c>
      <c r="H84" s="6" t="s">
        <v>313</v>
      </c>
      <c r="I84" s="8"/>
      <c r="J84" s="8"/>
    </row>
    <row r="85" customFormat="false" ht="22.35" hidden="false" customHeight="false" outlineLevel="0" collapsed="false">
      <c r="A85" s="9" t="n">
        <v>80</v>
      </c>
      <c r="B85" s="10" t="s">
        <v>308</v>
      </c>
      <c r="C85" s="10" t="s">
        <v>309</v>
      </c>
      <c r="D85" s="10" t="s">
        <v>314</v>
      </c>
      <c r="E85" s="10" t="s">
        <v>315</v>
      </c>
      <c r="F85" s="7" t="s">
        <v>17</v>
      </c>
      <c r="G85" s="10" t="s">
        <v>316</v>
      </c>
      <c r="H85" s="10" t="s">
        <v>317</v>
      </c>
      <c r="I85" s="8"/>
      <c r="J85" s="8"/>
    </row>
    <row r="86" customFormat="false" ht="22.35" hidden="false" customHeight="false" outlineLevel="0" collapsed="false">
      <c r="A86" s="5" t="n">
        <v>81</v>
      </c>
      <c r="B86" s="6" t="s">
        <v>308</v>
      </c>
      <c r="C86" s="6" t="s">
        <v>318</v>
      </c>
      <c r="D86" s="6" t="s">
        <v>319</v>
      </c>
      <c r="E86" s="6" t="s">
        <v>320</v>
      </c>
      <c r="F86" s="7" t="s">
        <v>17</v>
      </c>
      <c r="G86" s="6" t="s">
        <v>321</v>
      </c>
      <c r="H86" s="6" t="s">
        <v>322</v>
      </c>
      <c r="I86" s="8"/>
      <c r="J86" s="8"/>
    </row>
    <row r="87" customFormat="false" ht="15" hidden="false" customHeight="false" outlineLevel="0" collapsed="false">
      <c r="A87" s="9" t="n">
        <v>82</v>
      </c>
      <c r="B87" s="10" t="s">
        <v>308</v>
      </c>
      <c r="C87" s="10" t="s">
        <v>318</v>
      </c>
      <c r="D87" s="10" t="s">
        <v>323</v>
      </c>
      <c r="E87" s="10" t="s">
        <v>324</v>
      </c>
      <c r="F87" s="7" t="s">
        <v>17</v>
      </c>
      <c r="G87" s="10" t="s">
        <v>325</v>
      </c>
      <c r="H87" s="10" t="s">
        <v>326</v>
      </c>
      <c r="I87" s="8"/>
      <c r="J87" s="8"/>
    </row>
    <row r="88" customFormat="false" ht="22.35" hidden="false" customHeight="false" outlineLevel="0" collapsed="false">
      <c r="A88" s="5" t="n">
        <v>83</v>
      </c>
      <c r="B88" s="6" t="s">
        <v>308</v>
      </c>
      <c r="C88" s="6" t="s">
        <v>327</v>
      </c>
      <c r="D88" s="6" t="s">
        <v>328</v>
      </c>
      <c r="E88" s="6" t="s">
        <v>329</v>
      </c>
      <c r="F88" s="7" t="s">
        <v>17</v>
      </c>
      <c r="G88" s="6" t="s">
        <v>330</v>
      </c>
      <c r="H88" s="6" t="s">
        <v>103</v>
      </c>
      <c r="I88" s="8"/>
      <c r="J88" s="8"/>
    </row>
    <row r="89" customFormat="false" ht="22.35" hidden="false" customHeight="false" outlineLevel="0" collapsed="false">
      <c r="A89" s="9" t="n">
        <v>84</v>
      </c>
      <c r="B89" s="10" t="s">
        <v>308</v>
      </c>
      <c r="C89" s="10" t="s">
        <v>327</v>
      </c>
      <c r="D89" s="10" t="s">
        <v>331</v>
      </c>
      <c r="E89" s="10" t="s">
        <v>332</v>
      </c>
      <c r="F89" s="7" t="s">
        <v>17</v>
      </c>
      <c r="G89" s="10" t="s">
        <v>333</v>
      </c>
      <c r="H89" s="10" t="s">
        <v>334</v>
      </c>
      <c r="I89" s="8"/>
      <c r="J89" s="8"/>
    </row>
    <row r="90" customFormat="false" ht="22.35" hidden="false" customHeight="false" outlineLevel="0" collapsed="false">
      <c r="A90" s="5" t="n">
        <v>85</v>
      </c>
      <c r="B90" s="6" t="s">
        <v>308</v>
      </c>
      <c r="C90" s="6" t="s">
        <v>335</v>
      </c>
      <c r="D90" s="6" t="s">
        <v>336</v>
      </c>
      <c r="E90" s="6" t="s">
        <v>320</v>
      </c>
      <c r="F90" s="7" t="s">
        <v>17</v>
      </c>
      <c r="G90" s="6" t="s">
        <v>337</v>
      </c>
      <c r="H90" s="6" t="s">
        <v>338</v>
      </c>
      <c r="I90" s="8"/>
      <c r="J90" s="8"/>
    </row>
    <row r="91" customFormat="false" ht="22.35" hidden="false" customHeight="false" outlineLevel="0" collapsed="false">
      <c r="A91" s="9" t="n">
        <v>86</v>
      </c>
      <c r="B91" s="10" t="s">
        <v>308</v>
      </c>
      <c r="C91" s="10" t="s">
        <v>335</v>
      </c>
      <c r="D91" s="10" t="s">
        <v>339</v>
      </c>
      <c r="E91" s="10" t="s">
        <v>25</v>
      </c>
      <c r="F91" s="11" t="s">
        <v>51</v>
      </c>
      <c r="G91" s="10" t="s">
        <v>340</v>
      </c>
      <c r="H91" s="10" t="s">
        <v>341</v>
      </c>
      <c r="I91" s="8"/>
      <c r="J91" s="8"/>
    </row>
    <row r="92" customFormat="false" ht="22.35" hidden="false" customHeight="false" outlineLevel="0" collapsed="false">
      <c r="A92" s="5" t="n">
        <v>87</v>
      </c>
      <c r="B92" s="6" t="s">
        <v>308</v>
      </c>
      <c r="C92" s="6" t="s">
        <v>342</v>
      </c>
      <c r="D92" s="6" t="s">
        <v>343</v>
      </c>
      <c r="E92" s="6" t="s">
        <v>344</v>
      </c>
      <c r="F92" s="12" t="s">
        <v>125</v>
      </c>
      <c r="G92" s="6" t="s">
        <v>345</v>
      </c>
      <c r="H92" s="6" t="s">
        <v>346</v>
      </c>
      <c r="I92" s="8"/>
      <c r="J92" s="8"/>
    </row>
    <row r="93" customFormat="false" ht="22.35" hidden="false" customHeight="false" outlineLevel="0" collapsed="false">
      <c r="A93" s="9" t="n">
        <v>88</v>
      </c>
      <c r="B93" s="10" t="s">
        <v>308</v>
      </c>
      <c r="C93" s="10" t="s">
        <v>342</v>
      </c>
      <c r="D93" s="10" t="s">
        <v>347</v>
      </c>
      <c r="E93" s="10" t="s">
        <v>320</v>
      </c>
      <c r="F93" s="12" t="s">
        <v>125</v>
      </c>
      <c r="G93" s="10" t="s">
        <v>348</v>
      </c>
      <c r="H93" s="10" t="s">
        <v>349</v>
      </c>
      <c r="I93" s="8"/>
      <c r="J93" s="8"/>
    </row>
  </sheetData>
  <autoFilter ref="A5:J93"/>
  <dataValidations count="1">
    <dataValidation allowBlank="true" errorStyle="stop" operator="between" showDropDown="false" showErrorMessage="false" showInputMessage="false" sqref="I6:I93" type="list">
      <formula1>"Approved,Approved with conditions,Deferred,Rejected,Needs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4"/>
    <col collapsed="false" customWidth="true" hidden="false" outlineLevel="0" max="4" min="4" style="0" width="22"/>
    <col collapsed="false" customWidth="true" hidden="false" outlineLevel="0" max="5" min="5" style="0" width="12"/>
    <col collapsed="false" customWidth="true" hidden="false" outlineLevel="0" max="6" min="6" style="0" width="24"/>
  </cols>
  <sheetData>
    <row r="1" customFormat="false" ht="18.55" hidden="false" customHeight="false" outlineLevel="0" collapsed="false">
      <c r="A1" s="1" t="s">
        <v>350</v>
      </c>
    </row>
    <row r="2" customFormat="false" ht="15" hidden="false" customHeight="false" outlineLevel="0" collapsed="false">
      <c r="A2" s="3" t="s">
        <v>351</v>
      </c>
    </row>
    <row r="4" customFormat="false" ht="15" hidden="false" customHeight="false" outlineLevel="0" collapsed="false">
      <c r="A4" s="13" t="s">
        <v>352</v>
      </c>
    </row>
    <row r="5" customFormat="false" ht="15" hidden="false" customHeight="false" outlineLevel="0" collapsed="false">
      <c r="A5" s="14" t="s">
        <v>353</v>
      </c>
      <c r="B5" s="14" t="s">
        <v>354</v>
      </c>
      <c r="C5" s="14" t="s">
        <v>355</v>
      </c>
    </row>
    <row r="6" customFormat="false" ht="15" hidden="false" customHeight="false" outlineLevel="0" collapsed="false">
      <c r="A6" s="15" t="s">
        <v>17</v>
      </c>
      <c r="B6" s="16" t="n">
        <f aca="false">COUNTIF('Master Activity List'!$F$6:$F$93,$A6)</f>
        <v>51</v>
      </c>
      <c r="C6" s="17" t="n">
        <f aca="false">IFERROR($B6/$B$9,0)</f>
        <v>0.579545454545455</v>
      </c>
    </row>
    <row r="7" customFormat="false" ht="15" hidden="false" customHeight="false" outlineLevel="0" collapsed="false">
      <c r="A7" s="18" t="s">
        <v>51</v>
      </c>
      <c r="B7" s="16" t="n">
        <f aca="false">COUNTIF('Master Activity List'!$F$6:$F$93,$A7)</f>
        <v>24</v>
      </c>
      <c r="C7" s="17" t="n">
        <f aca="false">IFERROR($B7/$B$9,0)</f>
        <v>0.272727272727273</v>
      </c>
    </row>
    <row r="8" customFormat="false" ht="15" hidden="false" customHeight="false" outlineLevel="0" collapsed="false">
      <c r="A8" s="19" t="s">
        <v>125</v>
      </c>
      <c r="B8" s="16" t="n">
        <f aca="false">COUNTIF('Master Activity List'!$F$6:$F$93,$A8)</f>
        <v>13</v>
      </c>
      <c r="C8" s="17" t="n">
        <f aca="false">IFERROR($B8/$B$9,0)</f>
        <v>0.147727272727273</v>
      </c>
    </row>
    <row r="9" customFormat="false" ht="15" hidden="false" customHeight="false" outlineLevel="0" collapsed="false">
      <c r="A9" s="20" t="s">
        <v>356</v>
      </c>
      <c r="B9" s="21" t="n">
        <f aca="false">SUM($B$6:$B$8)</f>
        <v>88</v>
      </c>
      <c r="C9" s="22" t="n">
        <f aca="false">IFERROR($B$9/$B$9,0)</f>
        <v>1</v>
      </c>
    </row>
    <row r="12" customFormat="false" ht="15" hidden="false" customHeight="false" outlineLevel="0" collapsed="false">
      <c r="A12" s="13" t="s">
        <v>357</v>
      </c>
    </row>
    <row r="13" customFormat="false" ht="30" hidden="false" customHeight="true" outlineLevel="0" collapsed="false">
      <c r="A13" s="4" t="s">
        <v>4</v>
      </c>
      <c r="B13" s="4" t="s">
        <v>17</v>
      </c>
      <c r="C13" s="4" t="s">
        <v>51</v>
      </c>
      <c r="D13" s="4" t="s">
        <v>125</v>
      </c>
      <c r="E13" s="4" t="s">
        <v>356</v>
      </c>
      <c r="F13" s="4" t="s">
        <v>358</v>
      </c>
    </row>
    <row r="14" customFormat="false" ht="15" hidden="false" customHeight="false" outlineLevel="0" collapsed="false">
      <c r="A14" s="23" t="s">
        <v>13</v>
      </c>
      <c r="B14" s="16" t="n">
        <f aca="false">COUNTIFS('Master Activity List'!$B$6:$B$93,$A14,'Master Activity List'!$F$6:$F$93,B$13)</f>
        <v>37</v>
      </c>
      <c r="C14" s="16" t="n">
        <f aca="false">COUNTIFS('Master Activity List'!$B$6:$B$93,$A14,'Master Activity List'!$F$6:$F$93,C$13)</f>
        <v>20</v>
      </c>
      <c r="D14" s="16" t="n">
        <f aca="false">COUNTIFS('Master Activity List'!$B$6:$B$93,$A14,'Master Activity List'!$F$6:$F$93,D$13)</f>
        <v>7</v>
      </c>
      <c r="E14" s="16" t="n">
        <f aca="false">SUM($B14:$D14)</f>
        <v>64</v>
      </c>
      <c r="F14" s="17" t="n">
        <f aca="false">IFERROR(($B14+$C14)/$E14,0)</f>
        <v>0.890625</v>
      </c>
    </row>
    <row r="15" customFormat="false" ht="15" hidden="false" customHeight="false" outlineLevel="0" collapsed="false">
      <c r="A15" s="24" t="s">
        <v>257</v>
      </c>
      <c r="B15" s="25" t="n">
        <f aca="false">COUNTIFS('Master Activity List'!$B$6:$B$93,$A15,'Master Activity List'!$F$6:$F$93,B$13)</f>
        <v>7</v>
      </c>
      <c r="C15" s="25" t="n">
        <f aca="false">COUNTIFS('Master Activity List'!$B$6:$B$93,$A15,'Master Activity List'!$F$6:$F$93,C$13)</f>
        <v>3</v>
      </c>
      <c r="D15" s="25" t="n">
        <f aca="false">COUNTIFS('Master Activity List'!$B$6:$B$93,$A15,'Master Activity List'!$F$6:$F$93,D$13)</f>
        <v>4</v>
      </c>
      <c r="E15" s="25" t="n">
        <f aca="false">SUM($B15:$D15)</f>
        <v>14</v>
      </c>
      <c r="F15" s="26" t="n">
        <f aca="false">IFERROR(($B15+$C15)/$E15,0)</f>
        <v>0.714285714285714</v>
      </c>
    </row>
    <row r="16" customFormat="false" ht="15" hidden="false" customHeight="false" outlineLevel="0" collapsed="false">
      <c r="A16" s="23" t="s">
        <v>308</v>
      </c>
      <c r="B16" s="16" t="n">
        <f aca="false">COUNTIFS('Master Activity List'!$B$6:$B$93,$A16,'Master Activity List'!$F$6:$F$93,B$13)</f>
        <v>7</v>
      </c>
      <c r="C16" s="16" t="n">
        <f aca="false">COUNTIFS('Master Activity List'!$B$6:$B$93,$A16,'Master Activity List'!$F$6:$F$93,C$13)</f>
        <v>1</v>
      </c>
      <c r="D16" s="16" t="n">
        <f aca="false">COUNTIFS('Master Activity List'!$B$6:$B$93,$A16,'Master Activity List'!$F$6:$F$93,D$13)</f>
        <v>2</v>
      </c>
      <c r="E16" s="16" t="n">
        <f aca="false">SUM($B16:$D16)</f>
        <v>10</v>
      </c>
      <c r="F16" s="17" t="n">
        <f aca="false">IFERROR(($B16+$C16)/$E16,0)</f>
        <v>0.8</v>
      </c>
    </row>
    <row r="17" customFormat="false" ht="15" hidden="false" customHeight="false" outlineLevel="0" collapsed="false">
      <c r="A17" s="21" t="s">
        <v>356</v>
      </c>
      <c r="B17" s="21" t="n">
        <f aca="false">SUM(B14:B16)</f>
        <v>51</v>
      </c>
      <c r="C17" s="21" t="n">
        <f aca="false">SUM(C14:C16)</f>
        <v>24</v>
      </c>
      <c r="D17" s="21" t="n">
        <f aca="false">SUM(D14:D16)</f>
        <v>13</v>
      </c>
      <c r="E17" s="21" t="n">
        <f aca="false">SUM(E14:E16)</f>
        <v>88</v>
      </c>
      <c r="F17" s="22" t="n">
        <f aca="false">IFERROR(($B17+$C17)/$E17,0)</f>
        <v>0.852272727272727</v>
      </c>
    </row>
    <row r="20" customFormat="false" ht="15" hidden="false" customHeight="false" outlineLevel="0" collapsed="false">
      <c r="A20" s="13" t="s">
        <v>359</v>
      </c>
    </row>
    <row r="21" customFormat="false" ht="30" hidden="false" customHeight="true" outlineLevel="0" collapsed="false">
      <c r="A21" s="27" t="s">
        <v>360</v>
      </c>
      <c r="B21" s="27"/>
      <c r="C21" s="27"/>
      <c r="D21" s="27"/>
      <c r="E21" s="27"/>
      <c r="F21" s="27"/>
    </row>
    <row r="22" customFormat="false" ht="30" hidden="false" customHeight="true" outlineLevel="0" collapsed="false">
      <c r="A22" s="27" t="s">
        <v>361</v>
      </c>
      <c r="B22" s="27"/>
      <c r="C22" s="27"/>
      <c r="D22" s="27"/>
      <c r="E22" s="27"/>
      <c r="F22" s="27"/>
    </row>
    <row r="23" customFormat="false" ht="30" hidden="false" customHeight="true" outlineLevel="0" collapsed="false">
      <c r="A23" s="27" t="s">
        <v>362</v>
      </c>
      <c r="B23" s="27"/>
      <c r="C23" s="27"/>
      <c r="D23" s="27"/>
      <c r="E23" s="27"/>
      <c r="F23" s="27"/>
    </row>
    <row r="24" customFormat="false" ht="30" hidden="false" customHeight="true" outlineLevel="0" collapsed="false">
      <c r="A24" s="27" t="s">
        <v>363</v>
      </c>
      <c r="B24" s="27"/>
      <c r="C24" s="27"/>
      <c r="D24" s="27"/>
      <c r="E24" s="27"/>
      <c r="F24" s="27"/>
    </row>
    <row r="25" customFormat="false" ht="30" hidden="false" customHeight="true" outlineLevel="0" collapsed="false">
      <c r="A25" s="27" t="s">
        <v>364</v>
      </c>
      <c r="B25" s="27"/>
      <c r="C25" s="27"/>
      <c r="D25" s="27"/>
      <c r="E25" s="27"/>
      <c r="F25" s="27"/>
    </row>
    <row r="26" customFormat="false" ht="30" hidden="false" customHeight="true" outlineLevel="0" collapsed="false">
      <c r="A26" s="27" t="s">
        <v>365</v>
      </c>
      <c r="B26" s="27"/>
      <c r="C26" s="27"/>
      <c r="D26" s="27"/>
      <c r="E26" s="27"/>
      <c r="F26" s="27"/>
    </row>
  </sheetData>
  <mergeCells count="6">
    <mergeCell ref="A21:F21"/>
    <mergeCell ref="A22:F22"/>
    <mergeCell ref="A23:F23"/>
    <mergeCell ref="A24:F24"/>
    <mergeCell ref="A25:F25"/>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92"/>
  </cols>
  <sheetData>
    <row r="1" customFormat="false" ht="18.55" hidden="false" customHeight="false" outlineLevel="0" collapsed="false">
      <c r="A1" s="1" t="s">
        <v>366</v>
      </c>
    </row>
    <row r="2" customFormat="false" ht="15" hidden="false" customHeight="false" outlineLevel="0" collapsed="false">
      <c r="A2" s="3" t="s">
        <v>367</v>
      </c>
    </row>
    <row r="4" customFormat="false" ht="15" hidden="false" customHeight="false" outlineLevel="0" collapsed="false">
      <c r="A4" s="14" t="s">
        <v>368</v>
      </c>
      <c r="B4" s="14" t="s">
        <v>369</v>
      </c>
      <c r="C4" s="14" t="s">
        <v>370</v>
      </c>
    </row>
    <row r="5" customFormat="false" ht="22.35" hidden="false" customHeight="false" outlineLevel="0" collapsed="false">
      <c r="A5" s="28" t="s">
        <v>25</v>
      </c>
      <c r="B5" s="6" t="s">
        <v>371</v>
      </c>
      <c r="C5" s="6" t="s">
        <v>372</v>
      </c>
    </row>
    <row r="6" customFormat="false" ht="15" hidden="false" customHeight="false" outlineLevel="0" collapsed="false">
      <c r="A6" s="29" t="s">
        <v>373</v>
      </c>
      <c r="B6" s="10" t="s">
        <v>371</v>
      </c>
      <c r="C6" s="10" t="s">
        <v>374</v>
      </c>
    </row>
    <row r="7" customFormat="false" ht="15" hidden="false" customHeight="false" outlineLevel="0" collapsed="false">
      <c r="A7" s="28" t="s">
        <v>375</v>
      </c>
      <c r="B7" s="6" t="s">
        <v>376</v>
      </c>
      <c r="C7" s="6" t="s">
        <v>377</v>
      </c>
    </row>
    <row r="8" customFormat="false" ht="15" hidden="false" customHeight="false" outlineLevel="0" collapsed="false">
      <c r="A8" s="29" t="s">
        <v>378</v>
      </c>
      <c r="B8" s="10" t="s">
        <v>376</v>
      </c>
      <c r="C8" s="10" t="s">
        <v>379</v>
      </c>
    </row>
    <row r="9" customFormat="false" ht="15" hidden="false" customHeight="false" outlineLevel="0" collapsed="false">
      <c r="A9" s="28" t="s">
        <v>380</v>
      </c>
      <c r="B9" s="6" t="s">
        <v>376</v>
      </c>
      <c r="C9" s="6" t="s">
        <v>381</v>
      </c>
    </row>
    <row r="10" customFormat="false" ht="15" hidden="false" customHeight="false" outlineLevel="0" collapsed="false">
      <c r="A10" s="29" t="s">
        <v>382</v>
      </c>
      <c r="B10" s="10" t="s">
        <v>383</v>
      </c>
      <c r="C10" s="10" t="s">
        <v>384</v>
      </c>
    </row>
    <row r="11" customFormat="false" ht="22.35" hidden="false" customHeight="false" outlineLevel="0" collapsed="false">
      <c r="A11" s="28" t="s">
        <v>117</v>
      </c>
      <c r="B11" s="6" t="s">
        <v>385</v>
      </c>
      <c r="C11" s="6" t="s">
        <v>386</v>
      </c>
    </row>
    <row r="12" customFormat="false" ht="15" hidden="false" customHeight="false" outlineLevel="0" collapsed="false">
      <c r="A12" s="29" t="s">
        <v>387</v>
      </c>
      <c r="B12" s="10" t="s">
        <v>388</v>
      </c>
      <c r="C12" s="10" t="s">
        <v>389</v>
      </c>
    </row>
    <row r="13" customFormat="false" ht="15" hidden="false" customHeight="false" outlineLevel="0" collapsed="false">
      <c r="A13" s="28" t="s">
        <v>270</v>
      </c>
      <c r="B13" s="6" t="s">
        <v>390</v>
      </c>
      <c r="C13" s="6" t="s">
        <v>391</v>
      </c>
    </row>
    <row r="14" customFormat="false" ht="15" hidden="false" customHeight="false" outlineLevel="0" collapsed="false">
      <c r="A14" s="29" t="s">
        <v>392</v>
      </c>
      <c r="B14" s="10" t="s">
        <v>390</v>
      </c>
      <c r="C14" s="10" t="s">
        <v>393</v>
      </c>
    </row>
    <row r="15" customFormat="false" ht="15" hidden="false" customHeight="false" outlineLevel="0" collapsed="false">
      <c r="A15" s="28" t="s">
        <v>394</v>
      </c>
      <c r="B15" s="6" t="s">
        <v>390</v>
      </c>
      <c r="C15" s="6" t="s">
        <v>395</v>
      </c>
    </row>
    <row r="16" customFormat="false" ht="22.35" hidden="false" customHeight="false" outlineLevel="0" collapsed="false">
      <c r="A16" s="29" t="s">
        <v>396</v>
      </c>
      <c r="B16" s="10" t="s">
        <v>397</v>
      </c>
      <c r="C16" s="10" t="s">
        <v>398</v>
      </c>
    </row>
    <row r="17" customFormat="false" ht="22.35" hidden="false" customHeight="false" outlineLevel="0" collapsed="false">
      <c r="A17" s="28" t="s">
        <v>399</v>
      </c>
      <c r="B17" s="6" t="s">
        <v>397</v>
      </c>
      <c r="C17" s="6" t="s">
        <v>400</v>
      </c>
    </row>
    <row r="18" customFormat="false" ht="15" hidden="false" customHeight="false" outlineLevel="0" collapsed="false">
      <c r="A18" s="29" t="s">
        <v>401</v>
      </c>
      <c r="B18" s="10" t="s">
        <v>397</v>
      </c>
      <c r="C18" s="10" t="s">
        <v>402</v>
      </c>
    </row>
    <row r="19" customFormat="false" ht="15" hidden="false" customHeight="false" outlineLevel="0" collapsed="false">
      <c r="A19" s="28" t="s">
        <v>403</v>
      </c>
      <c r="B19" s="6" t="s">
        <v>397</v>
      </c>
      <c r="C19" s="6" t="s">
        <v>404</v>
      </c>
    </row>
    <row r="20" customFormat="false" ht="15" hidden="false" customHeight="false" outlineLevel="0" collapsed="false">
      <c r="A20" s="29" t="s">
        <v>405</v>
      </c>
      <c r="B20" s="10" t="s">
        <v>397</v>
      </c>
      <c r="C20" s="10" t="s">
        <v>406</v>
      </c>
    </row>
    <row r="21" customFormat="false" ht="15" hidden="false" customHeight="false" outlineLevel="0" collapsed="false">
      <c r="A21" s="28" t="s">
        <v>407</v>
      </c>
      <c r="B21" s="6" t="s">
        <v>397</v>
      </c>
      <c r="C21" s="6" t="s">
        <v>408</v>
      </c>
    </row>
    <row r="22" customFormat="false" ht="15" hidden="false" customHeight="false" outlineLevel="0" collapsed="false">
      <c r="A22" s="29" t="s">
        <v>409</v>
      </c>
      <c r="B22" s="10" t="s">
        <v>397</v>
      </c>
      <c r="C22" s="10" t="s">
        <v>410</v>
      </c>
    </row>
    <row r="23" customFormat="false" ht="15" hidden="false" customHeight="false" outlineLevel="0" collapsed="false">
      <c r="A23" s="28" t="s">
        <v>29</v>
      </c>
      <c r="B23" s="6" t="s">
        <v>397</v>
      </c>
      <c r="C23" s="6" t="s">
        <v>411</v>
      </c>
    </row>
    <row r="24" customFormat="false" ht="15" hidden="false" customHeight="false" outlineLevel="0" collapsed="false">
      <c r="A24" s="29" t="s">
        <v>412</v>
      </c>
      <c r="B24" s="10" t="s">
        <v>397</v>
      </c>
      <c r="C24" s="10" t="s">
        <v>413</v>
      </c>
    </row>
    <row r="25" customFormat="false" ht="15" hidden="false" customHeight="false" outlineLevel="0" collapsed="false">
      <c r="A25" s="28" t="s">
        <v>414</v>
      </c>
      <c r="B25" s="6" t="s">
        <v>397</v>
      </c>
      <c r="C25" s="6" t="s">
        <v>415</v>
      </c>
    </row>
    <row r="26" customFormat="false" ht="15" hidden="false" customHeight="false" outlineLevel="0" collapsed="false">
      <c r="A26" s="29" t="s">
        <v>416</v>
      </c>
      <c r="B26" s="10" t="s">
        <v>397</v>
      </c>
      <c r="C26" s="10" t="s">
        <v>417</v>
      </c>
    </row>
    <row r="27" customFormat="false" ht="15" hidden="false" customHeight="false" outlineLevel="0" collapsed="false">
      <c r="A27" s="28" t="s">
        <v>418</v>
      </c>
      <c r="B27" s="6" t="s">
        <v>397</v>
      </c>
      <c r="C27" s="6" t="s">
        <v>419</v>
      </c>
    </row>
    <row r="28" customFormat="false" ht="15" hidden="false" customHeight="false" outlineLevel="0" collapsed="false">
      <c r="A28" s="29" t="s">
        <v>274</v>
      </c>
      <c r="B28" s="10" t="s">
        <v>385</v>
      </c>
      <c r="C28" s="10" t="s">
        <v>420</v>
      </c>
    </row>
    <row r="29" customFormat="false" ht="15" hidden="false" customHeight="false" outlineLevel="0" collapsed="false">
      <c r="A29" s="28" t="s">
        <v>421</v>
      </c>
      <c r="B29" s="6" t="s">
        <v>385</v>
      </c>
      <c r="C29" s="6" t="s">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2026-10-13T08:40:29Z</dcterms:created>
  <dc:creator>openpyxl</dc:creator>
  <dc:description/>
  <dc:language>en-US</dc:language>
  <cp:lastModifiedBy/>
  <dcterms:modified xsi:type="dcterms:W3CDTF">2026-10-13T08:40:29Z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